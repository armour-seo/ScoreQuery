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19671db6eeb1acf/Score_Query/"/>
    </mc:Choice>
  </mc:AlternateContent>
  <xr:revisionPtr revIDLastSave="3" documentId="13_ncr:20001_{44161AA8-D4B7-4C44-8668-4357B9098F46}" xr6:coauthVersionLast="47" xr6:coauthVersionMax="47" xr10:uidLastSave="{DAB49E51-623E-4AE8-AECD-A0B80ED80485}"/>
  <bookViews>
    <workbookView xWindow="51480" yWindow="-120" windowWidth="29040" windowHeight="15720" xr2:uid="{00000000-000D-0000-FFFF-FFFF00000000}"/>
  </bookViews>
  <sheets>
    <sheet name="총괄" sheetId="1" r:id="rId1"/>
    <sheet name="정답표" sheetId="2" r:id="rId2"/>
    <sheet name="처리요약" sheetId="3" r:id="rId3"/>
    <sheet name="중복응답" sheetId="4" r:id="rId4"/>
    <sheet name="미매칭응답" sheetId="5" r:id="rId5"/>
    <sheet name="보정매칭" sheetId="6" r:id="rId6"/>
    <sheet name="출석_원자료" sheetId="7" r:id="rId7"/>
    <sheet name="중간고사_원자료" sheetId="8" r:id="rId8"/>
    <sheet name="성적산정기준" sheetId="9" r:id="rId9"/>
    <sheet name="최종성적" sheetId="10" r:id="rId10"/>
    <sheet name="평점분포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02" i="1" l="1"/>
  <c r="AM102" i="1"/>
  <c r="AB102" i="1"/>
  <c r="AX97" i="1"/>
  <c r="AM97" i="1"/>
  <c r="Q97" i="1"/>
  <c r="AX103" i="1"/>
  <c r="AM103" i="1"/>
  <c r="AB103" i="1"/>
  <c r="AX101" i="1"/>
  <c r="AM101" i="1"/>
  <c r="AB101" i="1"/>
  <c r="BI98" i="1"/>
  <c r="AX98" i="1"/>
  <c r="AM98" i="1"/>
  <c r="Q98" i="1"/>
  <c r="BI105" i="1"/>
  <c r="AX105" i="1"/>
  <c r="AM105" i="1"/>
  <c r="AB105" i="1"/>
  <c r="BI96" i="1"/>
  <c r="AX96" i="1"/>
  <c r="AM96" i="1"/>
  <c r="Q96" i="1"/>
  <c r="BI92" i="1"/>
  <c r="AX92" i="1"/>
  <c r="AM92" i="1"/>
  <c r="AB92" i="1"/>
  <c r="BI108" i="1"/>
  <c r="AX108" i="1"/>
  <c r="AM108" i="1"/>
  <c r="AB108" i="1"/>
  <c r="Q108" i="1"/>
  <c r="BI104" i="1"/>
  <c r="AX104" i="1"/>
  <c r="AM104" i="1"/>
  <c r="AB104" i="1"/>
  <c r="Q104" i="1"/>
  <c r="BI99" i="1"/>
  <c r="AX99" i="1"/>
  <c r="AM99" i="1"/>
  <c r="AB99" i="1"/>
  <c r="Q99" i="1"/>
  <c r="BI93" i="1"/>
  <c r="AX93" i="1"/>
  <c r="AM93" i="1"/>
  <c r="AB93" i="1"/>
  <c r="Q93" i="1"/>
  <c r="BI91" i="1"/>
  <c r="AX91" i="1"/>
  <c r="AM91" i="1"/>
  <c r="AB91" i="1"/>
  <c r="Q91" i="1"/>
  <c r="BI109" i="1"/>
  <c r="AX109" i="1"/>
  <c r="AM109" i="1"/>
  <c r="AB109" i="1"/>
  <c r="Q109" i="1"/>
  <c r="BI95" i="1"/>
  <c r="AX95" i="1"/>
  <c r="AM95" i="1"/>
  <c r="AB95" i="1"/>
  <c r="Q95" i="1"/>
  <c r="BI94" i="1"/>
  <c r="AX94" i="1"/>
  <c r="AM94" i="1"/>
  <c r="AB94" i="1"/>
  <c r="Q94" i="1"/>
  <c r="BI107" i="1"/>
  <c r="AX107" i="1"/>
  <c r="AM107" i="1"/>
  <c r="AB107" i="1"/>
  <c r="Q107" i="1"/>
  <c r="BI106" i="1"/>
  <c r="AX106" i="1"/>
  <c r="AM106" i="1"/>
  <c r="AB106" i="1"/>
  <c r="Q106" i="1"/>
  <c r="BI100" i="1"/>
  <c r="AX100" i="1"/>
  <c r="AM100" i="1"/>
  <c r="AB100" i="1"/>
  <c r="Q100" i="1"/>
  <c r="AB70" i="1"/>
  <c r="Q70" i="1"/>
  <c r="AM81" i="1"/>
  <c r="AB81" i="1"/>
  <c r="BI64" i="1"/>
  <c r="AB64" i="1"/>
  <c r="Q64" i="1"/>
  <c r="AX89" i="1"/>
  <c r="Q89" i="1"/>
  <c r="BI67" i="1"/>
  <c r="AB67" i="1"/>
  <c r="Q67" i="1"/>
  <c r="AX79" i="1"/>
  <c r="AM79" i="1"/>
  <c r="AB79" i="1"/>
  <c r="BI72" i="1"/>
  <c r="AM72" i="1"/>
  <c r="Q72" i="1"/>
  <c r="BI60" i="1"/>
  <c r="AX60" i="1"/>
  <c r="AM60" i="1"/>
  <c r="AB60" i="1"/>
  <c r="Q60" i="1"/>
  <c r="AX71" i="1"/>
  <c r="AM71" i="1"/>
  <c r="AB71" i="1"/>
  <c r="Q71" i="1"/>
  <c r="BI88" i="1"/>
  <c r="AX88" i="1"/>
  <c r="AM88" i="1"/>
  <c r="Q88" i="1"/>
  <c r="BI68" i="1"/>
  <c r="AM68" i="1"/>
  <c r="AB68" i="1"/>
  <c r="Q68" i="1"/>
  <c r="AX80" i="1"/>
  <c r="AM80" i="1"/>
  <c r="AB80" i="1"/>
  <c r="Q80" i="1"/>
  <c r="BI77" i="1"/>
  <c r="AM77" i="1"/>
  <c r="AB77" i="1"/>
  <c r="Q77" i="1"/>
  <c r="BI86" i="1"/>
  <c r="AM86" i="1"/>
  <c r="AB86" i="1"/>
  <c r="Q86" i="1"/>
  <c r="BI74" i="1"/>
  <c r="AX74" i="1"/>
  <c r="AM74" i="1"/>
  <c r="AB74" i="1"/>
  <c r="Q74" i="1"/>
  <c r="BI63" i="1"/>
  <c r="AX63" i="1"/>
  <c r="AB63" i="1"/>
  <c r="Q63" i="1"/>
  <c r="BI85" i="1"/>
  <c r="AX85" i="1"/>
  <c r="AM85" i="1"/>
  <c r="Q85" i="1"/>
  <c r="BI62" i="1"/>
  <c r="AX62" i="1"/>
  <c r="AM62" i="1"/>
  <c r="Q62" i="1"/>
  <c r="BI75" i="1"/>
  <c r="AX75" i="1"/>
  <c r="AM75" i="1"/>
  <c r="AB75" i="1"/>
  <c r="Q75" i="1"/>
  <c r="BI69" i="1"/>
  <c r="AX69" i="1"/>
  <c r="AM69" i="1"/>
  <c r="AB69" i="1"/>
  <c r="Q69" i="1"/>
  <c r="BI84" i="1"/>
  <c r="AX84" i="1"/>
  <c r="AM84" i="1"/>
  <c r="AB84" i="1"/>
  <c r="Q84" i="1"/>
  <c r="BI76" i="1"/>
  <c r="AX76" i="1"/>
  <c r="AM76" i="1"/>
  <c r="AB76" i="1"/>
  <c r="Q76" i="1"/>
  <c r="BI78" i="1"/>
  <c r="AX78" i="1"/>
  <c r="AM78" i="1"/>
  <c r="AB78" i="1"/>
  <c r="Q78" i="1"/>
  <c r="BI90" i="1"/>
  <c r="AX90" i="1"/>
  <c r="AM90" i="1"/>
  <c r="AB90" i="1"/>
  <c r="Q90" i="1"/>
  <c r="BI66" i="1"/>
  <c r="AX66" i="1"/>
  <c r="AM66" i="1"/>
  <c r="AB66" i="1"/>
  <c r="Q66" i="1"/>
  <c r="BI61" i="1"/>
  <c r="AX61" i="1"/>
  <c r="AM61" i="1"/>
  <c r="AB61" i="1"/>
  <c r="Q61" i="1"/>
  <c r="BI83" i="1"/>
  <c r="AX83" i="1"/>
  <c r="AM83" i="1"/>
  <c r="AB83" i="1"/>
  <c r="Q83" i="1"/>
  <c r="BI87" i="1"/>
  <c r="AX87" i="1"/>
  <c r="AM87" i="1"/>
  <c r="AB87" i="1"/>
  <c r="Q87" i="1"/>
  <c r="BI82" i="1"/>
  <c r="AX82" i="1"/>
  <c r="AM82" i="1"/>
  <c r="AB82" i="1"/>
  <c r="Q82" i="1"/>
  <c r="BI73" i="1"/>
  <c r="AX73" i="1"/>
  <c r="AM73" i="1"/>
  <c r="AB73" i="1"/>
  <c r="Q73" i="1"/>
  <c r="BI65" i="1"/>
  <c r="AX65" i="1"/>
  <c r="AM65" i="1"/>
  <c r="AB65" i="1"/>
  <c r="Q65" i="1"/>
  <c r="BI29" i="1"/>
  <c r="AX29" i="1"/>
  <c r="AM29" i="1"/>
  <c r="AB29" i="1"/>
  <c r="Q29" i="1"/>
  <c r="BI49" i="1"/>
  <c r="AX49" i="1"/>
  <c r="AM49" i="1"/>
  <c r="AX51" i="1"/>
  <c r="AM51" i="1"/>
  <c r="AB51" i="1"/>
  <c r="Q51" i="1"/>
  <c r="BI40" i="1"/>
  <c r="AX40" i="1"/>
  <c r="AM40" i="1"/>
  <c r="AB40" i="1"/>
  <c r="Q40" i="1"/>
  <c r="BI59" i="1"/>
  <c r="AX59" i="1"/>
  <c r="AB59" i="1"/>
  <c r="Q59" i="1"/>
  <c r="BI58" i="1"/>
  <c r="AM58" i="1"/>
  <c r="AB58" i="1"/>
  <c r="Q58" i="1"/>
  <c r="BI52" i="1"/>
  <c r="AX52" i="1"/>
  <c r="AM52" i="1"/>
  <c r="AB52" i="1"/>
  <c r="BI44" i="1"/>
  <c r="AX44" i="1"/>
  <c r="AM44" i="1"/>
  <c r="AB44" i="1"/>
  <c r="Q44" i="1"/>
  <c r="BI34" i="1"/>
  <c r="AX34" i="1"/>
  <c r="AM34" i="1"/>
  <c r="AB34" i="1"/>
  <c r="BI38" i="1"/>
  <c r="AX38" i="1"/>
  <c r="AM38" i="1"/>
  <c r="AB38" i="1"/>
  <c r="Q38" i="1"/>
  <c r="BI57" i="1"/>
  <c r="AX57" i="1"/>
  <c r="AM57" i="1"/>
  <c r="AB57" i="1"/>
  <c r="Q57" i="1"/>
  <c r="BI32" i="1"/>
  <c r="AX32" i="1"/>
  <c r="AM32" i="1"/>
  <c r="AB32" i="1"/>
  <c r="Q32" i="1"/>
  <c r="BI42" i="1"/>
  <c r="AX42" i="1"/>
  <c r="AM42" i="1"/>
  <c r="AB42" i="1"/>
  <c r="Q42" i="1"/>
  <c r="BI30" i="1"/>
  <c r="AX30" i="1"/>
  <c r="AM30" i="1"/>
  <c r="AB30" i="1"/>
  <c r="Q30" i="1"/>
  <c r="BI46" i="1"/>
  <c r="AX46" i="1"/>
  <c r="AM46" i="1"/>
  <c r="AB46" i="1"/>
  <c r="Q46" i="1"/>
  <c r="BI36" i="1"/>
  <c r="AX36" i="1"/>
  <c r="AM36" i="1"/>
  <c r="AB36" i="1"/>
  <c r="Q36" i="1"/>
  <c r="BI45" i="1"/>
  <c r="AX45" i="1"/>
  <c r="AM45" i="1"/>
  <c r="AB45" i="1"/>
  <c r="Q45" i="1"/>
  <c r="BI50" i="1"/>
  <c r="AX50" i="1"/>
  <c r="AM50" i="1"/>
  <c r="AB50" i="1"/>
  <c r="Q50" i="1"/>
  <c r="BI48" i="1"/>
  <c r="AX48" i="1"/>
  <c r="AM48" i="1"/>
  <c r="AB48" i="1"/>
  <c r="Q48" i="1"/>
  <c r="BI39" i="1"/>
  <c r="AX39" i="1"/>
  <c r="AM39" i="1"/>
  <c r="AB39" i="1"/>
  <c r="Q39" i="1"/>
  <c r="BI33" i="1"/>
  <c r="AX33" i="1"/>
  <c r="AM33" i="1"/>
  <c r="AB33" i="1"/>
  <c r="Q33" i="1"/>
  <c r="BL28" i="1"/>
  <c r="BI41" i="1"/>
  <c r="AX41" i="1"/>
  <c r="AM41" i="1"/>
  <c r="AB41" i="1"/>
  <c r="Q41" i="1"/>
  <c r="BI47" i="1"/>
  <c r="AX47" i="1"/>
  <c r="AM47" i="1"/>
  <c r="AB47" i="1"/>
  <c r="Q47" i="1"/>
  <c r="BI54" i="1"/>
  <c r="AX54" i="1"/>
  <c r="AM54" i="1"/>
  <c r="AB54" i="1"/>
  <c r="Q54" i="1"/>
  <c r="BI53" i="1"/>
  <c r="AX53" i="1"/>
  <c r="AM53" i="1"/>
  <c r="AB53" i="1"/>
  <c r="Q53" i="1"/>
  <c r="BI35" i="1"/>
  <c r="AX35" i="1"/>
  <c r="AM35" i="1"/>
  <c r="AB35" i="1"/>
  <c r="Q35" i="1"/>
  <c r="BI31" i="1"/>
  <c r="AX31" i="1"/>
  <c r="AM31" i="1"/>
  <c r="AB31" i="1"/>
  <c r="Q31" i="1"/>
  <c r="BI56" i="1"/>
  <c r="AX56" i="1"/>
  <c r="AM56" i="1"/>
  <c r="AB56" i="1"/>
  <c r="Q56" i="1"/>
  <c r="BI55" i="1"/>
  <c r="AX55" i="1"/>
  <c r="AM55" i="1"/>
  <c r="AB55" i="1"/>
  <c r="Q55" i="1"/>
  <c r="BI43" i="1"/>
  <c r="AX43" i="1"/>
  <c r="AM43" i="1"/>
  <c r="AB43" i="1"/>
  <c r="Q43" i="1"/>
  <c r="BI37" i="1"/>
  <c r="AX37" i="1"/>
  <c r="AM37" i="1"/>
  <c r="AB37" i="1"/>
  <c r="Q37" i="1"/>
  <c r="BL20" i="1"/>
  <c r="BL9" i="1"/>
  <c r="BL8" i="1"/>
  <c r="AM12" i="1"/>
  <c r="AB23" i="1"/>
  <c r="BI21" i="1"/>
  <c r="BI15" i="1"/>
  <c r="AM15" i="1"/>
  <c r="AB15" i="1"/>
  <c r="Q15" i="1"/>
  <c r="AB26" i="1"/>
  <c r="Q26" i="1"/>
  <c r="BI18" i="1"/>
  <c r="Q18" i="1"/>
  <c r="BI25" i="1"/>
  <c r="AM25" i="1"/>
  <c r="BI3" i="1"/>
  <c r="AB3" i="1"/>
  <c r="AM24" i="1"/>
  <c r="AB24" i="1"/>
  <c r="Q24" i="1"/>
  <c r="BI10" i="1"/>
  <c r="AM10" i="1"/>
  <c r="AB10" i="1"/>
  <c r="BI17" i="1"/>
  <c r="AM17" i="1"/>
  <c r="AB17" i="1"/>
  <c r="AM14" i="1"/>
  <c r="AB14" i="1"/>
  <c r="Q14" i="1"/>
  <c r="BI22" i="1"/>
  <c r="AM22" i="1"/>
  <c r="AB22" i="1"/>
  <c r="BI11" i="1"/>
  <c r="AM11" i="1"/>
  <c r="AB11" i="1"/>
  <c r="BI4" i="1"/>
  <c r="AM4" i="1"/>
  <c r="AB4" i="1"/>
  <c r="BI19" i="1"/>
  <c r="AB19" i="1"/>
  <c r="Q19" i="1"/>
  <c r="BI13" i="1"/>
  <c r="AB13" i="1"/>
  <c r="Q13" i="1"/>
  <c r="BI27" i="1"/>
  <c r="AM27" i="1"/>
  <c r="Q27" i="1"/>
  <c r="BI2" i="1"/>
  <c r="AM2" i="1"/>
  <c r="AB2" i="1"/>
  <c r="BI6" i="1"/>
  <c r="AM6" i="1"/>
  <c r="AB6" i="1"/>
  <c r="Q6" i="1"/>
  <c r="BI5" i="1"/>
  <c r="AM5" i="1"/>
  <c r="AB5" i="1"/>
  <c r="Q5" i="1"/>
  <c r="BI16" i="1"/>
  <c r="AM16" i="1"/>
  <c r="AB16" i="1"/>
  <c r="Q16" i="1"/>
  <c r="BI7" i="1"/>
  <c r="AM7" i="1"/>
  <c r="AB7" i="1"/>
  <c r="Q7" i="1"/>
  <c r="BK102" i="1" l="1"/>
  <c r="BJ102" i="1"/>
  <c r="BJ92" i="1"/>
  <c r="BJ104" i="1"/>
  <c r="BJ93" i="1"/>
  <c r="BJ60" i="1"/>
  <c r="BK29" i="1"/>
  <c r="BJ29" i="1"/>
  <c r="BJ12" i="1"/>
  <c r="BJ14" i="1"/>
  <c r="BK97" i="1"/>
  <c r="BJ97" i="1"/>
  <c r="BK5" i="1"/>
  <c r="BK103" i="1"/>
  <c r="BJ103" i="1"/>
  <c r="BJ101" i="1"/>
  <c r="BJ96" i="1"/>
  <c r="BJ108" i="1"/>
  <c r="BJ99" i="1"/>
  <c r="BJ5" i="1"/>
  <c r="BJ98" i="1"/>
  <c r="BJ105" i="1"/>
  <c r="BJ106" i="1"/>
  <c r="BJ16" i="1"/>
  <c r="BK93" i="1"/>
  <c r="BK95" i="1"/>
  <c r="BK107" i="1"/>
  <c r="BJ107" i="1"/>
  <c r="BK64" i="1"/>
  <c r="BJ64" i="1"/>
  <c r="BK75" i="1"/>
  <c r="BK69" i="1"/>
  <c r="BJ69" i="1"/>
  <c r="BJ78" i="1"/>
  <c r="BJ58" i="1"/>
  <c r="BK54" i="1"/>
  <c r="BJ54" i="1"/>
  <c r="BJ17" i="1"/>
  <c r="BK104" i="1"/>
  <c r="BK94" i="1"/>
  <c r="BJ94" i="1"/>
  <c r="BK86" i="1"/>
  <c r="BK61" i="1"/>
  <c r="BJ82" i="1"/>
  <c r="BJ44" i="1"/>
  <c r="BJ45" i="1"/>
  <c r="BK43" i="1"/>
  <c r="BK106" i="1"/>
  <c r="BK63" i="1"/>
  <c r="BK62" i="1"/>
  <c r="BJ76" i="1"/>
  <c r="BK90" i="1"/>
  <c r="BJ90" i="1"/>
  <c r="BJ61" i="1"/>
  <c r="BK83" i="1"/>
  <c r="BK30" i="1"/>
  <c r="BK13" i="1"/>
  <c r="BJ27" i="1"/>
  <c r="BK7" i="1"/>
  <c r="BJ7" i="1"/>
  <c r="BK60" i="1"/>
  <c r="BJ10" i="1"/>
  <c r="BK17" i="1"/>
  <c r="BK6" i="1"/>
  <c r="BK85" i="1"/>
  <c r="BJ85" i="1"/>
  <c r="BJ84" i="1"/>
  <c r="BK52" i="1"/>
  <c r="BK36" i="1"/>
  <c r="BK23" i="1"/>
  <c r="BK21" i="1"/>
  <c r="BK15" i="1"/>
  <c r="BJ25" i="1"/>
  <c r="BK66" i="1"/>
  <c r="BJ66" i="1"/>
  <c r="BK49" i="1"/>
  <c r="BJ49" i="1"/>
  <c r="BK51" i="1"/>
  <c r="BJ51" i="1"/>
  <c r="BK40" i="1"/>
  <c r="BJ40" i="1"/>
  <c r="BK59" i="1"/>
  <c r="BJ59" i="1"/>
  <c r="BJ36" i="1"/>
  <c r="BK41" i="1"/>
  <c r="BK26" i="1"/>
  <c r="BK18" i="1"/>
  <c r="BK22" i="1"/>
  <c r="BJ22" i="1"/>
  <c r="BK4" i="1"/>
  <c r="BJ4" i="1"/>
  <c r="BK27" i="1"/>
  <c r="BK38" i="1"/>
  <c r="BJ38" i="1"/>
  <c r="BK57" i="1"/>
  <c r="BJ57" i="1"/>
  <c r="BK32" i="1"/>
  <c r="BJ32" i="1"/>
  <c r="BK42" i="1"/>
  <c r="BJ42" i="1"/>
  <c r="BK47" i="1"/>
  <c r="BJ31" i="1"/>
  <c r="BK37" i="1"/>
  <c r="BJ37" i="1"/>
  <c r="BK50" i="1"/>
  <c r="BJ50" i="1"/>
  <c r="BK48" i="1"/>
  <c r="BJ48" i="1"/>
  <c r="BK39" i="1"/>
  <c r="BJ39" i="1"/>
  <c r="BK33" i="1"/>
  <c r="BJ33" i="1"/>
  <c r="BK53" i="1"/>
  <c r="BJ53" i="1"/>
  <c r="BK35" i="1"/>
  <c r="BJ35" i="1"/>
  <c r="BK12" i="1"/>
  <c r="BK14" i="1"/>
  <c r="BK16" i="1"/>
  <c r="BK96" i="1"/>
  <c r="BK109" i="1"/>
  <c r="BK79" i="1"/>
  <c r="BJ80" i="1"/>
  <c r="BK78" i="1"/>
  <c r="BK80" i="1"/>
  <c r="BK84" i="1"/>
  <c r="BK87" i="1"/>
  <c r="BJ87" i="1"/>
  <c r="BK65" i="1"/>
  <c r="BK46" i="1"/>
  <c r="BJ46" i="1"/>
  <c r="BJ41" i="1"/>
  <c r="BJ56" i="1"/>
  <c r="BK91" i="1"/>
  <c r="BJ91" i="1"/>
  <c r="BJ109" i="1"/>
  <c r="BJ95" i="1"/>
  <c r="BJ70" i="1"/>
  <c r="BK88" i="1"/>
  <c r="BJ88" i="1"/>
  <c r="BK74" i="1"/>
  <c r="BJ62" i="1"/>
  <c r="BK82" i="1"/>
  <c r="BK58" i="1"/>
  <c r="BJ21" i="1"/>
  <c r="BK25" i="1"/>
  <c r="BK10" i="1"/>
  <c r="BK92" i="1"/>
  <c r="BK56" i="1"/>
  <c r="BK55" i="1"/>
  <c r="BJ55" i="1"/>
  <c r="BJ23" i="1"/>
  <c r="BK101" i="1"/>
  <c r="BK108" i="1"/>
  <c r="BK100" i="1"/>
  <c r="BJ100" i="1"/>
  <c r="BK70" i="1"/>
  <c r="BK81" i="1"/>
  <c r="BJ81" i="1"/>
  <c r="BK89" i="1"/>
  <c r="BJ89" i="1"/>
  <c r="BJ67" i="1"/>
  <c r="BJ79" i="1"/>
  <c r="BK72" i="1"/>
  <c r="BJ72" i="1"/>
  <c r="BJ74" i="1"/>
  <c r="BJ63" i="1"/>
  <c r="BJ75" i="1"/>
  <c r="BJ83" i="1"/>
  <c r="BK73" i="1"/>
  <c r="BJ73" i="1"/>
  <c r="BK45" i="1"/>
  <c r="BJ18" i="1"/>
  <c r="BJ11" i="1"/>
  <c r="BK19" i="1"/>
  <c r="BJ19" i="1"/>
  <c r="BJ2" i="1"/>
  <c r="BK105" i="1"/>
  <c r="BJ86" i="1"/>
  <c r="BK76" i="1"/>
  <c r="BJ65" i="1"/>
  <c r="BK44" i="1"/>
  <c r="BJ47" i="1"/>
  <c r="BK31" i="1"/>
  <c r="BK24" i="1"/>
  <c r="BJ24" i="1"/>
  <c r="BJ6" i="1"/>
  <c r="BK98" i="1"/>
  <c r="BK34" i="1"/>
  <c r="BJ30" i="1"/>
  <c r="BJ26" i="1"/>
  <c r="BK99" i="1"/>
  <c r="BK67" i="1"/>
  <c r="BK71" i="1"/>
  <c r="BJ71" i="1"/>
  <c r="BK68" i="1"/>
  <c r="BJ68" i="1"/>
  <c r="BK77" i="1"/>
  <c r="BJ77" i="1"/>
  <c r="BJ52" i="1"/>
  <c r="BJ34" i="1"/>
  <c r="BJ43" i="1"/>
  <c r="BJ15" i="1"/>
  <c r="BK3" i="1"/>
  <c r="BJ3" i="1"/>
  <c r="BK11" i="1"/>
  <c r="BJ13" i="1"/>
  <c r="BK2" i="1"/>
  <c r="BL96" i="1" l="1"/>
  <c r="BL93" i="1"/>
  <c r="BL104" i="1"/>
  <c r="BL106" i="1"/>
  <c r="BL29" i="1"/>
  <c r="BL5" i="1"/>
  <c r="BL60" i="1"/>
  <c r="BL101" i="1"/>
  <c r="BL92" i="1"/>
  <c r="BP8" i="1" s="1"/>
  <c r="BL108" i="1"/>
  <c r="BL103" i="1"/>
  <c r="BL97" i="1"/>
  <c r="BP9" i="1" s="1"/>
  <c r="BQ9" i="1" s="1"/>
  <c r="BL105" i="1"/>
  <c r="BL98" i="1"/>
  <c r="BL12" i="1"/>
  <c r="BL14" i="1"/>
  <c r="BL16" i="1"/>
  <c r="BL102" i="1"/>
  <c r="BP20" i="1" s="1"/>
  <c r="BQ20" i="1" s="1"/>
  <c r="BL99" i="1"/>
  <c r="BL107" i="1"/>
  <c r="BL64" i="1"/>
  <c r="BL69" i="1"/>
  <c r="BL78" i="1"/>
  <c r="BL58" i="1"/>
  <c r="BP58" i="1" s="1"/>
  <c r="BL54" i="1"/>
  <c r="BL17" i="1"/>
  <c r="BL94" i="1"/>
  <c r="BL82" i="1"/>
  <c r="BL44" i="1"/>
  <c r="BL45" i="1"/>
  <c r="BL76" i="1"/>
  <c r="BP76" i="1" s="1"/>
  <c r="BL90" i="1"/>
  <c r="BP90" i="1" s="1"/>
  <c r="BL61" i="1"/>
  <c r="BL27" i="1"/>
  <c r="BL7" i="1"/>
  <c r="BP106" i="1" s="1"/>
  <c r="BL10" i="1"/>
  <c r="BL85" i="1"/>
  <c r="BL84" i="1"/>
  <c r="BP84" i="1" s="1"/>
  <c r="BL25" i="1"/>
  <c r="BL66" i="1"/>
  <c r="BL49" i="1"/>
  <c r="BL51" i="1"/>
  <c r="BL40" i="1"/>
  <c r="BL59" i="1"/>
  <c r="BL36" i="1"/>
  <c r="BL22" i="1"/>
  <c r="BL4" i="1"/>
  <c r="BL38" i="1"/>
  <c r="BL57" i="1"/>
  <c r="BL32" i="1"/>
  <c r="BP5" i="1" s="1"/>
  <c r="BL42" i="1"/>
  <c r="BL31" i="1"/>
  <c r="BL37" i="1"/>
  <c r="BL50" i="1"/>
  <c r="BP92" i="1" s="1"/>
  <c r="BL48" i="1"/>
  <c r="BL39" i="1"/>
  <c r="BL33" i="1"/>
  <c r="BL53" i="1"/>
  <c r="BL35" i="1"/>
  <c r="BL80" i="1"/>
  <c r="BL87" i="1"/>
  <c r="BL46" i="1"/>
  <c r="BL41" i="1"/>
  <c r="BL56" i="1"/>
  <c r="BL91" i="1"/>
  <c r="BL109" i="1"/>
  <c r="BP29" i="1" s="1"/>
  <c r="BL95" i="1"/>
  <c r="BL70" i="1"/>
  <c r="BL88" i="1"/>
  <c r="BL62" i="1"/>
  <c r="BL21" i="1"/>
  <c r="BP28" i="1" s="1"/>
  <c r="BL55" i="1"/>
  <c r="BL23" i="1"/>
  <c r="BL100" i="1"/>
  <c r="BL81" i="1"/>
  <c r="BL89" i="1"/>
  <c r="BL67" i="1"/>
  <c r="BL79" i="1"/>
  <c r="BL72" i="1"/>
  <c r="BL74" i="1"/>
  <c r="BP32" i="1" s="1"/>
  <c r="BL63" i="1"/>
  <c r="BL75" i="1"/>
  <c r="BL83" i="1"/>
  <c r="BL73" i="1"/>
  <c r="BL18" i="1"/>
  <c r="BP104" i="1" s="1"/>
  <c r="BL11" i="1"/>
  <c r="BL19" i="1"/>
  <c r="BL2" i="1"/>
  <c r="BL86" i="1"/>
  <c r="BP102" i="1" s="1"/>
  <c r="BL65" i="1"/>
  <c r="BP60" i="1" s="1"/>
  <c r="BL47" i="1"/>
  <c r="BL24" i="1"/>
  <c r="BL6" i="1"/>
  <c r="BL30" i="1"/>
  <c r="BL26" i="1"/>
  <c r="BL71" i="1"/>
  <c r="BL68" i="1"/>
  <c r="BL77" i="1"/>
  <c r="BL52" i="1"/>
  <c r="BL34" i="1"/>
  <c r="BL43" i="1"/>
  <c r="BL15" i="1"/>
  <c r="BL3" i="1"/>
  <c r="BL13" i="1"/>
  <c r="BP16" i="1" l="1"/>
  <c r="BP94" i="1"/>
  <c r="BP82" i="1"/>
  <c r="BP47" i="1"/>
  <c r="BP72" i="1"/>
  <c r="BP54" i="1"/>
  <c r="BP101" i="1"/>
  <c r="BP27" i="1"/>
  <c r="BP50" i="1"/>
  <c r="BP99" i="1"/>
  <c r="BP98" i="1"/>
  <c r="BP17" i="1"/>
  <c r="BP96" i="1"/>
  <c r="BP85" i="1"/>
  <c r="BP86" i="1"/>
  <c r="BP87" i="1"/>
  <c r="BP69" i="1"/>
  <c r="BP103" i="1"/>
  <c r="BP14" i="1"/>
  <c r="BP22" i="1"/>
  <c r="BP91" i="1"/>
  <c r="BP42" i="1"/>
  <c r="BP105" i="1"/>
  <c r="BP61" i="1"/>
  <c r="BP107" i="1"/>
  <c r="BP78" i="1"/>
  <c r="BP2" i="1"/>
  <c r="BP40" i="1"/>
  <c r="BP93" i="1"/>
  <c r="BP97" i="1"/>
  <c r="BP44" i="1"/>
  <c r="BP33" i="1"/>
  <c r="BP108" i="1"/>
  <c r="BP65" i="1"/>
  <c r="BP39" i="1"/>
  <c r="BP49" i="1"/>
  <c r="BP79" i="1"/>
  <c r="BP25" i="1"/>
  <c r="BP4" i="1"/>
  <c r="BP41" i="1"/>
  <c r="BP95" i="1"/>
  <c r="BP56" i="1"/>
  <c r="BP83" i="1"/>
  <c r="BP12" i="1"/>
  <c r="BP10" i="1"/>
  <c r="BP64" i="1"/>
  <c r="BP24" i="1"/>
  <c r="BP59" i="1"/>
  <c r="BP21" i="1"/>
  <c r="BQ21" i="1" s="1"/>
  <c r="BP70" i="1"/>
  <c r="BP55" i="1"/>
  <c r="BP81" i="1"/>
  <c r="BP11" i="1"/>
  <c r="BP66" i="1"/>
  <c r="BP36" i="1"/>
  <c r="BP13" i="1"/>
  <c r="BP80" i="1"/>
  <c r="BP46" i="1"/>
  <c r="BP51" i="1"/>
  <c r="BP68" i="1"/>
  <c r="BP74" i="1"/>
  <c r="BP23" i="1"/>
  <c r="BQ23" i="1" s="1"/>
  <c r="BP18" i="1"/>
  <c r="BP26" i="1"/>
  <c r="BQ26" i="1" s="1"/>
  <c r="BP45" i="1"/>
  <c r="BP37" i="1"/>
  <c r="BP89" i="1"/>
  <c r="BP88" i="1"/>
  <c r="BP53" i="1"/>
  <c r="BP30" i="1"/>
  <c r="BP52" i="1"/>
  <c r="BP19" i="1"/>
  <c r="BP75" i="1"/>
  <c r="BP15" i="1"/>
  <c r="BP67" i="1"/>
  <c r="BP3" i="1"/>
  <c r="BP62" i="1"/>
  <c r="BP34" i="1"/>
  <c r="BP57" i="1"/>
  <c r="BP77" i="1"/>
  <c r="BP63" i="1"/>
  <c r="BP35" i="1"/>
  <c r="BP71" i="1"/>
  <c r="BP7" i="1"/>
  <c r="BP109" i="1"/>
  <c r="BP6" i="1"/>
  <c r="BP38" i="1"/>
  <c r="BP100" i="1"/>
  <c r="BP31" i="1"/>
  <c r="BP73" i="1"/>
  <c r="BP48" i="1"/>
  <c r="BP43" i="1"/>
  <c r="BQ33" i="1" l="1"/>
  <c r="BQ106" i="1"/>
  <c r="BQ27" i="1"/>
  <c r="BQ101" i="1"/>
  <c r="BQ102" i="1"/>
  <c r="BQ83" i="1"/>
  <c r="BQ64" i="1"/>
  <c r="BQ59" i="1"/>
  <c r="BQ56" i="1"/>
  <c r="BQ90" i="1"/>
  <c r="BQ76" i="1"/>
  <c r="BQ84" i="1"/>
  <c r="BQ43" i="1"/>
  <c r="BQ93" i="1"/>
  <c r="BQ97" i="1"/>
  <c r="BQ8" i="1"/>
  <c r="BQ70" i="1"/>
  <c r="BQ18" i="1"/>
  <c r="BQ45" i="1"/>
  <c r="BQ37" i="1"/>
  <c r="BQ55" i="1"/>
  <c r="BQ81" i="1"/>
  <c r="BQ67" i="1"/>
  <c r="BQ99" i="1"/>
  <c r="BQ68" i="1"/>
  <c r="BQ77" i="1"/>
  <c r="BQ15" i="1"/>
  <c r="BQ22" i="1"/>
  <c r="BQ49" i="1"/>
  <c r="BQ100" i="1"/>
  <c r="BQ32" i="1"/>
  <c r="BQ95" i="1"/>
  <c r="BQ60" i="1"/>
  <c r="BQ107" i="1"/>
  <c r="BQ48" i="1"/>
  <c r="BQ12" i="1"/>
  <c r="BQ3" i="1"/>
  <c r="BQ62" i="1"/>
  <c r="BQ11" i="1"/>
  <c r="BQ66" i="1"/>
  <c r="BQ36" i="1"/>
  <c r="BQ89" i="1"/>
  <c r="BQ13" i="1"/>
  <c r="BQ34" i="1"/>
  <c r="BQ96" i="1"/>
  <c r="BQ94" i="1"/>
  <c r="BQ103" i="1"/>
  <c r="BQ98" i="1"/>
  <c r="BQ2" i="1"/>
  <c r="BQ24" i="1"/>
  <c r="BQ58" i="1"/>
  <c r="BQ88" i="1"/>
  <c r="BQ80" i="1"/>
  <c r="BQ7" i="1"/>
  <c r="BQ69" i="1"/>
  <c r="BQ65" i="1"/>
  <c r="BQ104" i="1"/>
  <c r="BQ57" i="1"/>
  <c r="BQ53" i="1"/>
  <c r="BQ46" i="1"/>
  <c r="BQ30" i="1"/>
  <c r="BQ51" i="1"/>
  <c r="BQ52" i="1"/>
  <c r="BQ73" i="1"/>
  <c r="BQ17" i="1"/>
  <c r="BQ85" i="1"/>
  <c r="BQ86" i="1"/>
  <c r="BQ14" i="1"/>
  <c r="BQ28" i="1"/>
  <c r="BQ39" i="1"/>
  <c r="BQ25" i="1"/>
  <c r="BQ91" i="1"/>
  <c r="BQ42" i="1"/>
  <c r="BQ4" i="1"/>
  <c r="BQ31" i="1"/>
  <c r="BQ54" i="1"/>
  <c r="BQ61" i="1"/>
  <c r="BQ78" i="1"/>
  <c r="BQ40" i="1"/>
  <c r="BQ82" i="1"/>
  <c r="BQ10" i="1"/>
  <c r="BQ87" i="1"/>
  <c r="BQ29" i="1"/>
  <c r="BQ79" i="1"/>
  <c r="BQ41" i="1"/>
  <c r="BQ109" i="1"/>
  <c r="BQ74" i="1"/>
  <c r="BQ63" i="1"/>
  <c r="BQ5" i="1"/>
  <c r="BQ44" i="1"/>
  <c r="BQ35" i="1"/>
  <c r="BQ92" i="1"/>
  <c r="BQ50" i="1"/>
  <c r="BQ6" i="1"/>
  <c r="BQ38" i="1"/>
  <c r="BQ16" i="1"/>
  <c r="BQ47" i="1"/>
  <c r="BQ71" i="1"/>
  <c r="BQ19" i="1"/>
  <c r="BQ108" i="1"/>
  <c r="BQ75" i="1"/>
  <c r="BQ72" i="1"/>
  <c r="BQ105" i="1"/>
</calcChain>
</file>

<file path=xl/sharedStrings.xml><?xml version="1.0" encoding="utf-8"?>
<sst xmlns="http://schemas.openxmlformats.org/spreadsheetml/2006/main" count="6374" uniqueCount="908">
  <si>
    <t>학과</t>
  </si>
  <si>
    <t>분반</t>
  </si>
  <si>
    <t>학번</t>
  </si>
  <si>
    <t>이름</t>
  </si>
  <si>
    <t>전화번호</t>
  </si>
  <si>
    <t>이메일</t>
  </si>
  <si>
    <t>W07_Q01_응답</t>
  </si>
  <si>
    <t>W07_Q02_응답</t>
  </si>
  <si>
    <t>W07_Q03_응답</t>
  </si>
  <si>
    <t>W07_Q04_응답</t>
  </si>
  <si>
    <t>W07_Q05_응답</t>
  </si>
  <si>
    <t>W07_Q06_응답</t>
  </si>
  <si>
    <t>W07_Q07_응답</t>
  </si>
  <si>
    <t>W07_Q08_응답</t>
  </si>
  <si>
    <t>W07_Q09_응답</t>
  </si>
  <si>
    <t>W07_Q10_응답</t>
  </si>
  <si>
    <t>W07</t>
  </si>
  <si>
    <t>W08_Q01_응답</t>
  </si>
  <si>
    <t>W08_Q02_응답</t>
  </si>
  <si>
    <t>W08_Q03_응답</t>
  </si>
  <si>
    <t>W08_Q04_응답</t>
  </si>
  <si>
    <t>W08_Q05_응답</t>
  </si>
  <si>
    <t>W08_Q06_응답</t>
  </si>
  <si>
    <t>W08_Q07_응답</t>
  </si>
  <si>
    <t>W08_Q08_응답</t>
  </si>
  <si>
    <t>W08_Q09_응답</t>
  </si>
  <si>
    <t>W08_Q10_응답</t>
  </si>
  <si>
    <t>W08</t>
  </si>
  <si>
    <t>W09_Q01_응답</t>
  </si>
  <si>
    <t>W09_Q02_응답</t>
  </si>
  <si>
    <t>W09_Q03_응답</t>
  </si>
  <si>
    <t>W09_Q04_응답</t>
  </si>
  <si>
    <t>W09_Q05_응답</t>
  </si>
  <si>
    <t>W09_Q06_응답</t>
  </si>
  <si>
    <t>W09_Q07_응답</t>
  </si>
  <si>
    <t>W09_Q08_응답</t>
  </si>
  <si>
    <t>W09_Q09_응답</t>
  </si>
  <si>
    <t>W09_Q10_응답</t>
  </si>
  <si>
    <t>W09</t>
  </si>
  <si>
    <t>W10_Q01_응답</t>
  </si>
  <si>
    <t>W10_Q02_응답</t>
  </si>
  <si>
    <t>W10_Q03_응답</t>
  </si>
  <si>
    <t>W10_Q04_응답</t>
  </si>
  <si>
    <t>W10_Q05_응답</t>
  </si>
  <si>
    <t>W10_Q06_응답</t>
  </si>
  <si>
    <t>W10_Q07_응답</t>
  </si>
  <si>
    <t>W10_Q08_응답</t>
  </si>
  <si>
    <t>W10_Q09_응답</t>
  </si>
  <si>
    <t>W10_Q10_응답</t>
  </si>
  <si>
    <t>W10</t>
  </si>
  <si>
    <t>W11_Q01_응답</t>
  </si>
  <si>
    <t>W11_Q02_응답</t>
  </si>
  <si>
    <t>W11_Q03_응답</t>
  </si>
  <si>
    <t>W11_Q04_응답</t>
  </si>
  <si>
    <t>W11_Q05_응답</t>
  </si>
  <si>
    <t>W11_Q06_응답</t>
  </si>
  <si>
    <t>W11_Q07_응답</t>
  </si>
  <si>
    <t>W11_Q08_응답</t>
  </si>
  <si>
    <t>W11_Q09_응답</t>
  </si>
  <si>
    <t>W11_Q10_응답</t>
  </si>
  <si>
    <t>W11</t>
  </si>
  <si>
    <t>퀴즈합계</t>
  </si>
  <si>
    <t>퀴즈응답수</t>
  </si>
  <si>
    <t>퀴즈점수(30)</t>
  </si>
  <si>
    <t>경영학과</t>
  </si>
  <si>
    <t>양우철</t>
  </si>
  <si>
    <t>010-5781-9370</t>
  </si>
  <si>
    <t>snowly2408620437@163.com</t>
  </si>
  <si>
    <t>B. 피드백 및 반복 (反馈和迭代)</t>
  </si>
  <si>
    <t>D. 최소한의 비용과 시간 소모 (最低限度的成本和时间消耗)</t>
  </si>
  <si>
    <t>C. 운영적 의사결정 (运营性决策)</t>
  </si>
  <si>
    <t>C. 마케팅 전략 (营销策略)</t>
  </si>
  <si>
    <t>C. 문제해결 (问题解决)</t>
  </si>
  <si>
    <t>C. 착수 → 계획 → 실행 → 마무리 (启动 → 计划 → 执行 → 结束)</t>
  </si>
  <si>
    <t>A. 프로젝트 콘텐츠 (项目内容/产出物), B. 프로젝트 메타데이터 (项目元数据)</t>
  </si>
  <si>
    <t>B. 비동기적 소통 (Asynchronous Communication / 异步沟通)</t>
  </si>
  <si>
    <t>X (거짓/错)</t>
  </si>
  <si>
    <t>O (참/对)</t>
  </si>
  <si>
    <t>BPR</t>
  </si>
  <si>
    <t>遵循日常运营的正式化和标准化程序。</t>
  </si>
  <si>
    <t>企业间流程</t>
  </si>
  <si>
    <t>相同数据在多个部门重复存储，导致不一致。</t>
  </si>
  <si>
    <t>引入企业信息系统（EIS）</t>
  </si>
  <si>
    <t>减少不必要的审批环节，从而最大限度地减少时间和资源。</t>
  </si>
  <si>
    <t>整合管理与客户的所有互动，最大限度地提高客户终身价值。</t>
  </si>
  <si>
    <t>将业务运营整合到一个单一且一致的计算平台。</t>
  </si>
  <si>
    <t>O</t>
  </si>
  <si>
    <t>硬件、软件、数据、流程、人员</t>
  </si>
  <si>
    <t>组织战略决定价值链，价值链决定业务流程，业务流程决定 SMIS 需求。</t>
  </si>
  <si>
    <t>增加物质资本</t>
  </si>
  <si>
    <t>直接销售用户数据：通过直接销售用户个人数据获取主要收入。</t>
  </si>
  <si>
    <t>创新 (Innovation)</t>
  </si>
  <si>
    <t>指通过电子邮件、消息应用等难以追踪的渠道进行的社交分享区域，企业应在此处关注建立信任。</t>
  </si>
  <si>
    <t>基于兴趣形成，一个用户可以同时属于多个社区。</t>
  </si>
  <si>
    <t>财务与会计</t>
  </si>
  <si>
    <t>支持IT技术以实现组织目标，并将其与经营目标相结合。</t>
  </si>
  <si>
    <t>有效连接信息系统(IS)战略与企业经营战略。</t>
  </si>
  <si>
    <t>根据组织的目标和优先顺序，综合考虑战略、预算和风险。</t>
  </si>
  <si>
    <t>谁来做信息系统相关的决策，谁来承担责任？</t>
  </si>
  <si>
    <t>综合考虑项目的战略适用性和实际可行性。</t>
  </si>
  <si>
    <t>将组织的部分IT功能委托给外部专业公司执行。</t>
  </si>
  <si>
    <t>安全威胁完全消除，信息安全得到加强。</t>
  </si>
  <si>
    <t>X</t>
  </si>
  <si>
    <t>정유은</t>
  </si>
  <si>
    <t>010-3581-7557</t>
  </si>
  <si>
    <t>yueun917@gmail.com</t>
  </si>
  <si>
    <t>일상적인 운영을 위한 공식적이고 표준화된 절차를 따릅니다.</t>
  </si>
  <si>
    <t>기업 간 프로세스</t>
  </si>
  <si>
    <t>동일한 데이터가 여러 부서에 중복 저장되어 불일치가 발생합니다.</t>
  </si>
  <si>
    <t>전사적 정보시스템(EIS) 도입</t>
  </si>
  <si>
    <t>불필요한 승인 단계를 축소하여 시간과 자원을 최소화합니다.</t>
  </si>
  <si>
    <t>고객과의 모든 상호작용을 통합 관리하여 고객 평생 가치를 극대화하는 것입니다.</t>
  </si>
  <si>
    <t>비즈니스 운영을 단일하고 일관된 컴퓨팅 플랫폼에 통합하는 것입니다.</t>
  </si>
  <si>
    <t>하드웨어,소프트웨어,데이터,절차,사람</t>
  </si>
  <si>
    <t>조직 전략이 가치 사슬을 결정하고, 가치 사슬은 비즈니스 프로세스를, 프로세스는 SMIS 요구 사항을 결정합니다.</t>
  </si>
  <si>
    <t>물적 자본 증대</t>
  </si>
  <si>
    <t>사용자 데이터 직접 판매: 사용자의 개인 데이터를 직접 판매하여 주된 수익을 얻습니다.</t>
  </si>
  <si>
    <t>혁신 (Innovation)</t>
  </si>
  <si>
    <t>이메일, 메시징 앱 등 추적하기 어려운 채널을 통한 소셜 공유 영역을 의미하며, 비즈니스는 여기서 신뢰 구축에 주목해야 합니다.</t>
  </si>
  <si>
    <t>관심사 기반으로 형성되며, 한 명의 사용자가 여러 커뮤니티에 동시 소속될 수 있습니다.</t>
  </si>
  <si>
    <t>재무 및 회계</t>
  </si>
  <si>
    <t>조직의 목표 달성을 위해 IT 기술을 지원하고 경영 목표와 연결한다.</t>
  </si>
  <si>
    <t>정보시스템(IS) 전략과 기업의 경영전략을 효과적으로 연결한다.</t>
  </si>
  <si>
    <t>조직의 목표와 우선순위에 맞춰 전략, 예산, 위험을 함께 고려한다.</t>
  </si>
  <si>
    <t>정보시스템 관련 의사결정을 누가 하고 그에 대한 책임은 누가 지는가?</t>
  </si>
  <si>
    <t>프로젝트의 전략적 적합성과 실제 실행 가능성을 종합적으로 고려한다.</t>
  </si>
  <si>
    <t>조직의 일부 IT 기능을 외부 전문 업체에 위탁하여 수행하게 하는 것이다.</t>
  </si>
  <si>
    <t>보안 위협이 완전히 제거되어 정보 보안이 강화된다.</t>
  </si>
  <si>
    <t>쩐응옥휘</t>
  </si>
  <si>
    <t>010-5727-3028</t>
  </si>
  <si>
    <t>huytranngoc1201@gmail.com</t>
  </si>
  <si>
    <t>제조 및 운영</t>
  </si>
  <si>
    <t>조동령</t>
  </si>
  <si>
    <t>010-7714-8195</t>
  </si>
  <si>
    <t>zdy2002dd@163.com</t>
  </si>
  <si>
    <t>A. 프로젝트 콘텐츠 (项目内容/产出物)</t>
  </si>
  <si>
    <t>实现现有分离系统之间的数据共享和通信。</t>
  </si>
  <si>
    <t>경영학부 경영학전공</t>
  </si>
  <si>
    <t>양곤</t>
  </si>
  <si>
    <t>010-5847-5169</t>
  </si>
  <si>
    <t>3201743705@qq.com</t>
  </si>
  <si>
    <t>이지영</t>
  </si>
  <si>
    <t>010-8839-8874</t>
  </si>
  <si>
    <t>2jy1018@gmail.com</t>
  </si>
  <si>
    <t>김상민</t>
  </si>
  <si>
    <t>010-9868-3163</t>
  </si>
  <si>
    <t>qlsdlsla4@gmail.com</t>
  </si>
  <si>
    <t>김준우</t>
  </si>
  <si>
    <t>010-5541-3529</t>
  </si>
  <si>
    <t>jogaehana@gmail.com</t>
  </si>
  <si>
    <t>주세남</t>
  </si>
  <si>
    <t>010-8356-9850</t>
  </si>
  <si>
    <t>2488676213@qq.com</t>
  </si>
  <si>
    <t>企业级流程</t>
  </si>
  <si>
    <t>응옌 티 쑤언 꾸인</t>
  </si>
  <si>
    <t>010-5948-6027</t>
  </si>
  <si>
    <t>xquynh2706@gmail.com</t>
  </si>
  <si>
    <t>하드웨어,소프트웨어,커뮤니티,절차,사람</t>
  </si>
  <si>
    <t>서만</t>
  </si>
  <si>
    <t>010-7631-6213</t>
  </si>
  <si>
    <t>x31_0113@qq.com</t>
  </si>
  <si>
    <t>常识 (Common Sense)</t>
  </si>
  <si>
    <t>이동윤</t>
  </si>
  <si>
    <t>010-3429-1571</t>
  </si>
  <si>
    <t>최민주</t>
  </si>
  <si>
    <t>010-5005-8659</t>
  </si>
  <si>
    <t>cmj5005@naver.com</t>
  </si>
  <si>
    <t>개인적 강화</t>
  </si>
  <si>
    <t>상식 (Common Sense)</t>
  </si>
  <si>
    <t>인공지능(AI)이 생성한 가짜 뉴스나 딥페이크 콘텐츠가 확산되는 소셜 미디어의 어두운 면을 지칭합니다.</t>
  </si>
  <si>
    <t>일방향 통신을 통해 정보가 전달되며, 사용자 간의 상호작용은 제한적입니다.</t>
  </si>
  <si>
    <t>송진근</t>
  </si>
  <si>
    <t>010-2509-0173</t>
  </si>
  <si>
    <t>song110746@naver.com</t>
  </si>
  <si>
    <t>조직의 변화에 따라 프로세스 구조가 신속하게 적응하고 변경됩니다.</t>
  </si>
  <si>
    <t>구조적 프로세스</t>
  </si>
  <si>
    <t>각 부서의 시스템 개발 비용이 절감됩니다.</t>
  </si>
  <si>
    <t>특정 작업 그룹이나 단일 부서의 업무 프로세스를 자동화하는 것입니다.</t>
  </si>
  <si>
    <t>SMIS 요구 사항이 먼저 결정되고, 이는 가치 사슬과 조직 전략에 영향을 미칩니다.</t>
  </si>
  <si>
    <t>예상보다 장기적인 관점에서 더 높은 비용이 발생할 수 있다.</t>
  </si>
  <si>
    <t>호티안뚜엔</t>
  </si>
  <si>
    <t>010-5592-6663</t>
  </si>
  <si>
    <t>anhtuyen0425@gmail.com</t>
  </si>
  <si>
    <t>콘텐츠, 플랫폼, 네트워크,가치사슬,하드웨어</t>
  </si>
  <si>
    <t>정보 획득</t>
  </si>
  <si>
    <t>제휴 및 소셜 커머스: 추천 링크를 통한 판매 수수료나 실시간 쇼핑을 통해 수익을 창출합니다.</t>
  </si>
  <si>
    <t>투명성 (Disclosure)</t>
  </si>
  <si>
    <t>주로 지리적 근접성을 기반으로 형성되어 구성원 간의 유대감이 강합니다.</t>
  </si>
  <si>
    <t>판매 및 마케팅</t>
  </si>
  <si>
    <t>이가기</t>
  </si>
  <si>
    <t>010-2451-5770</t>
  </si>
  <si>
    <t>keeeyo@163.com</t>
  </si>
  <si>
    <t>김호영</t>
  </si>
  <si>
    <t>010-2041-8336</t>
  </si>
  <si>
    <t>khy040722@naver.com</t>
  </si>
  <si>
    <t>강승회</t>
  </si>
  <si>
    <t>010-5519-9991</t>
  </si>
  <si>
    <t>jiangchenghui09@gmail.com</t>
  </si>
  <si>
    <t>A. 계획 → 착수 → 실행 → 마무리 (计划 → 启动 → 执行 → 结束)</t>
  </si>
  <si>
    <t>谁最擅长操作电脑并拥有技术专业知识？</t>
  </si>
  <si>
    <t>송유안</t>
  </si>
  <si>
    <t>010-4995-0377</t>
  </si>
  <si>
    <t>sshj8955@naver.com</t>
  </si>
  <si>
    <t>기존에 분리된 시스템들 간의 데이터 공유 및 통신을 가능하게 하는 것입니다.</t>
  </si>
  <si>
    <t>이성민</t>
  </si>
  <si>
    <t>010-2430-7874</t>
  </si>
  <si>
    <t>zxcv4408@naver.com</t>
  </si>
  <si>
    <t>C. 의미 있고 만족스러운 경험 (有意义且令人满意的经验)</t>
  </si>
  <si>
    <t>D. 비구조적 의사결정 (非结构性决策)</t>
  </si>
  <si>
    <t>A. 하드웨어 (硬件)</t>
  </si>
  <si>
    <t>B. 실행 → 계획 → 마무리 → 착수 (执行 → 计划 → 结束 → 启动)</t>
  </si>
  <si>
    <t>D. 팀원들의 개인정보 (团队成员的个人信息)</t>
  </si>
  <si>
    <t>A. 동기적 소통 (Synchronous Communication / 同步沟通)</t>
  </si>
  <si>
    <t>CRM</t>
  </si>
  <si>
    <t>부서별 독립적인 시스템 유지</t>
  </si>
  <si>
    <t>신제품 출시 기간(TTM)을 단축하여 시장 경쟁력을 확보합니다.</t>
  </si>
  <si>
    <t>공급망 파트너사와의 협업을 강화하여 물류 효율성을 높이는 것입니다.</t>
  </si>
  <si>
    <t>프리미엄 (Freemium): 기본 서비스는 무료로 제공하고, 고급 기능이나 광고 제거에 비용을 부과합니다.</t>
  </si>
  <si>
    <t>정보의 확산이 느리고, 주로 소수의 리더에 의해 통제되는 경향이 있습니다.</t>
  </si>
  <si>
    <t>기업의 회계 및 재무 자료만을 전문적으로 관리하고 보고한다.</t>
  </si>
  <si>
    <t>기업의 영업 활동을 직접적으로 수행하고 성과를 창출한다.</t>
  </si>
  <si>
    <t>모든 업무 기능을 외부 전문 업체에 위탁하는 방안을 고려한다.</t>
  </si>
  <si>
    <t>프로젝트 이름의 인지도나 대외적인 홍보 효과를 중요하게 판단한다.</t>
  </si>
  <si>
    <t>고하우</t>
  </si>
  <si>
    <t>010-8267-4006</t>
  </si>
  <si>
    <t>516970470@qq.com</t>
  </si>
  <si>
    <t>장호연</t>
  </si>
  <si>
    <t>010-8247-5841</t>
  </si>
  <si>
    <t>김가민</t>
  </si>
  <si>
    <t>010-4389-0603</t>
  </si>
  <si>
    <t>kimgamin0603@gmail.com</t>
  </si>
  <si>
    <t>고객 서비스</t>
  </si>
  <si>
    <t>김재환</t>
  </si>
  <si>
    <t>010-3493-7130</t>
  </si>
  <si>
    <t>kjhflg@hanmail.net</t>
  </si>
  <si>
    <t>김준환</t>
  </si>
  <si>
    <t>010-8602-1022</t>
  </si>
  <si>
    <t>박건우</t>
  </si>
  <si>
    <t>010-4398-8123</t>
  </si>
  <si>
    <t>gunukingg05@gmail.com</t>
  </si>
  <si>
    <t>류양</t>
  </si>
  <si>
    <t>010-8190-9167</t>
  </si>
  <si>
    <t>a17638169998@163.com</t>
  </si>
  <si>
    <t>在风险、成本和便利性之间找到适当的平衡。</t>
  </si>
  <si>
    <t>因为将所有安全风险降至零在现实中是不可能且低效的。</t>
  </si>
  <si>
    <t>未应用安全补丁的旧软件</t>
  </si>
  <si>
    <t>威胁能够访问系统或数据并造成损害的弱点。</t>
  </si>
  <si>
    <t>将数据转换为未经授权的人无法理解的形式以进行保护的技术。</t>
  </si>
  <si>
    <t>根据预设规则允许或阻止网络流量。</t>
  </si>
  <si>
    <t>主要是技术部门制定和执行的技术问题。</t>
  </si>
  <si>
    <t>定期测试备份数据是否能实际恢复非常重要。</t>
  </si>
  <si>
    <t>성개</t>
  </si>
  <si>
    <t>010-5804-6056</t>
  </si>
  <si>
    <t>3026851997@qq.com</t>
  </si>
  <si>
    <t>진사연</t>
  </si>
  <si>
    <t>010-7696-8651</t>
  </si>
  <si>
    <t>siranchen85@gamil.com</t>
  </si>
  <si>
    <t>하호인</t>
  </si>
  <si>
    <t>010-2487-5675</t>
  </si>
  <si>
    <t>h318191908@icloud.com</t>
  </si>
  <si>
    <t>고흔이</t>
  </si>
  <si>
    <t>010-2118-2811</t>
  </si>
  <si>
    <t>1691190544@qq.com</t>
  </si>
  <si>
    <t>류명혜</t>
  </si>
  <si>
    <t>010-3952-2165</t>
  </si>
  <si>
    <t>1469098339@qq.com</t>
  </si>
  <si>
    <t>조염흔</t>
  </si>
  <si>
    <t>010-7755-6927</t>
  </si>
  <si>
    <t>xxin0213@163.com</t>
  </si>
  <si>
    <t>C. 분업 및 전문화 (分工和专业化)</t>
  </si>
  <si>
    <t>진발강</t>
  </si>
  <si>
    <t>010-8165-6195</t>
  </si>
  <si>
    <t>1219127626@qq.com</t>
  </si>
  <si>
    <t>완정</t>
  </si>
  <si>
    <t>010-5749-8946</t>
  </si>
  <si>
    <t>2874356979@qq.com</t>
  </si>
  <si>
    <t>从长期来看，可能会产生比预期更高的成本。</t>
  </si>
  <si>
    <t>맹수</t>
  </si>
  <si>
    <t>010-7327-1581</t>
  </si>
  <si>
    <t>goddes778877@gmail.com</t>
  </si>
  <si>
    <t>D. 자원 할당 및 통제 (资源分配和控制)</t>
  </si>
  <si>
    <t>가경란</t>
  </si>
  <si>
    <t>010-7617-6878</t>
  </si>
  <si>
    <t>2068609058@qq.com</t>
  </si>
  <si>
    <t>硬件、软件、社区、流程、人员</t>
  </si>
  <si>
    <t>류개예</t>
  </si>
  <si>
    <t>010-9861-6925</t>
  </si>
  <si>
    <t>3251925645@qq.com</t>
  </si>
  <si>
    <t>C. 구조적 소통 (Structured Communication / 结构化沟通)</t>
  </si>
  <si>
    <t>류종준</t>
  </si>
  <si>
    <t>010-3917-9682</t>
  </si>
  <si>
    <t>2877642230@qq.com</t>
  </si>
  <si>
    <t>이소</t>
  </si>
  <si>
    <t>010-8116-5763</t>
  </si>
  <si>
    <t>2529534160@qq.com</t>
  </si>
  <si>
    <t>전일남</t>
  </si>
  <si>
    <t>010-5750-9200</t>
  </si>
  <si>
    <t>3170946358@qq.com</t>
  </si>
  <si>
    <t>施加影响力</t>
  </si>
  <si>
    <t>손정의</t>
  </si>
  <si>
    <t>010-5596-8011</t>
  </si>
  <si>
    <t>3446523506@qq.com</t>
  </si>
  <si>
    <t>将组织的所有核心能力完全转移给外部公司。</t>
  </si>
  <si>
    <t>류사기</t>
  </si>
  <si>
    <t>010-8275-6734</t>
  </si>
  <si>
    <t>1554009081@qq.com</t>
  </si>
  <si>
    <t>시지열</t>
  </si>
  <si>
    <t>010-6729-0752</t>
  </si>
  <si>
    <t>2733987239@qq.com</t>
  </si>
  <si>
    <t>고천양</t>
  </si>
  <si>
    <t>010-8232-2903</t>
  </si>
  <si>
    <t>3340777498@qq.com</t>
  </si>
  <si>
    <t>B. 프로젝트 메타데이터 (项目元数据)</t>
  </si>
  <si>
    <t>制造与运营</t>
  </si>
  <si>
    <t>반림</t>
  </si>
  <si>
    <t>010-7515-5123</t>
  </si>
  <si>
    <t>1350572443@qq.com</t>
  </si>
  <si>
    <t>곽우봉</t>
  </si>
  <si>
    <t>010-7512-8967</t>
  </si>
  <si>
    <t>2454108044@QQ.COM</t>
  </si>
  <si>
    <t>价值链直接设计动态流程流以推导出 SMIS 需求。</t>
  </si>
  <si>
    <t>与管理层、管理者、员工等所有组织成员的责任相关。</t>
  </si>
  <si>
    <t>只需执行一次备份就足够了，之后不需要额外的管理。</t>
  </si>
  <si>
    <t>호산</t>
  </si>
  <si>
    <t>010-8370-3716</t>
  </si>
  <si>
    <t>3319925196@qq.com</t>
  </si>
  <si>
    <t>A. 프로젝트 콘텐츠 (项目内容/产出物), B. 프로젝트 메타데이터 (项目元数据), C. 경영진 보고서 (管理层报告)</t>
  </si>
  <si>
    <t>个人赋能</t>
  </si>
  <si>
    <t>因为信息系统的复杂性增加，导致安全管理的难度提高。</t>
  </si>
  <si>
    <t>류자명</t>
  </si>
  <si>
    <t>010-5608-2165</t>
  </si>
  <si>
    <t>1293930470@qq.com</t>
  </si>
  <si>
    <t>提高决策的准确性，为实现战略目标做出贡献。</t>
  </si>
  <si>
    <t>加强与供应链合作伙伴的协作，提高物流效率。</t>
  </si>
  <si>
    <t>免费增值 (Freemium)：提供免费基础服务，对高级功能或去除广告收费。</t>
  </si>
  <si>
    <t>包括数据存储、处理、共享等整个组织的行为标准。</t>
  </si>
  <si>
    <t>组织对供应商的依赖度可能增加。</t>
  </si>
  <si>
    <t>류로요</t>
  </si>
  <si>
    <t>010-8379-9571</t>
  </si>
  <si>
    <t>luyaoliu02@gmail.com</t>
  </si>
  <si>
    <t>손가의</t>
  </si>
  <si>
    <t>010-5926-0216</t>
  </si>
  <si>
    <t>sunjiayi325@gmail.com</t>
  </si>
  <si>
    <t>ERP</t>
  </si>
  <si>
    <t>支持战略性和非例行性的经营决策。</t>
  </si>
  <si>
    <t>SMIS 需求首先被确定，然后影响价值链和组织战略。</t>
  </si>
  <si>
    <t>指人工智能 (AI) 生成的假新闻或深度伪造内容在社交媒体上传播的阴暗面。</t>
  </si>
  <si>
    <t>检测并自动清除渗透到系统中的恶意代码。</t>
  </si>
  <si>
    <t>조맹우</t>
  </si>
  <si>
    <t>010-5842-6574</t>
  </si>
  <si>
    <t>1071414539@qq.com</t>
  </si>
  <si>
    <t>황개희</t>
  </si>
  <si>
    <t>010-8096-0826</t>
  </si>
  <si>
    <t>17726496914@163.com</t>
  </si>
  <si>
    <t>후택예</t>
  </si>
  <si>
    <t>010-2816-7721</t>
  </si>
  <si>
    <t>2714108460@qq.com</t>
  </si>
  <si>
    <t>류흔</t>
  </si>
  <si>
    <t>010-8259-5961</t>
  </si>
  <si>
    <t>893178606@qq.com</t>
  </si>
  <si>
    <t>A. 계획 수립 및 예산 책정 (制定计划和预算)</t>
  </si>
  <si>
    <t>A. 프로젝트 콘텐츠 (项目内容/产出物), C. 경영진 보고서 (管理层报告)</t>
  </si>
  <si>
    <t>结构化流程</t>
  </si>
  <si>
    <t>扩大手动数据输入和管理流程</t>
  </si>
  <si>
    <t>将备份数据分离存储在外部存储器中的措施</t>
  </si>
  <si>
    <t>指需要保护的有价值的信息或资产本身。</t>
  </si>
  <si>
    <t>应涵盖事故响应和安全教育等全面内容。</t>
  </si>
  <si>
    <t>将项目名称的知名度或对外宣传效果作为重要判断依据。</t>
  </si>
  <si>
    <t>消除组织内部对该业务的所有责任和义务的方法。</t>
  </si>
  <si>
    <t>제효휘</t>
  </si>
  <si>
    <t>010-6852-1803</t>
  </si>
  <si>
    <t>qixi5303@gmail.com</t>
  </si>
  <si>
    <t>이원</t>
  </si>
  <si>
    <t>010-9893-9650</t>
  </si>
  <si>
    <t>13583179312@163.com</t>
  </si>
  <si>
    <t>강합문호</t>
  </si>
  <si>
    <t>010-2249-1040</t>
  </si>
  <si>
    <t>2024117631@qq.com</t>
  </si>
  <si>
    <t>B. 의사결정 (决策制定)</t>
  </si>
  <si>
    <t>频繁发生例外情况，并被设计为能够适应这些情况。</t>
  </si>
  <si>
    <t>工作组流程</t>
  </si>
  <si>
    <t>加强安全以防止数据泄露</t>
  </si>
  <si>
    <t>在单一平台上自动化企业的财务、会计和制造流程。</t>
  </si>
  <si>
    <t>内容、平台、网络、价值链、硬件</t>
  </si>
  <si>
    <t>业务流程决定 SMIS 需求，然后反过来塑造组织战略和价值链。</t>
  </si>
  <si>
    <t>销售与营销</t>
  </si>
  <si>
    <t>存储重要客户信息的数据库</t>
  </si>
  <si>
    <t>外部试图绕过安全系统进行非法访问的行为。</t>
  </si>
  <si>
    <t>直接执行和管理组织内的所有业务流程。</t>
  </si>
  <si>
    <t>哪个部门使用的信息系统相关预算最多？</t>
  </si>
  <si>
    <t>서문</t>
  </si>
  <si>
    <t>010-5587-0567</t>
  </si>
  <si>
    <t>2481937848@qq.com</t>
  </si>
  <si>
    <t>왕지정</t>
  </si>
  <si>
    <t>010-7503-5032</t>
  </si>
  <si>
    <t>378368151@qq.com</t>
  </si>
  <si>
    <t>장자가</t>
  </si>
  <si>
    <t>010-9503-8871</t>
  </si>
  <si>
    <t>Zzj200408@outlook.com</t>
  </si>
  <si>
    <t>좌영영</t>
  </si>
  <si>
    <t>010-8107-4896</t>
  </si>
  <si>
    <t>3394965226@qq.com</t>
  </si>
  <si>
    <t>장추실</t>
  </si>
  <si>
    <t>010-3916-0311</t>
  </si>
  <si>
    <t>1340505289@qq.com</t>
  </si>
  <si>
    <t>도기서</t>
  </si>
  <si>
    <t>010-3973-5932</t>
  </si>
  <si>
    <t>978283560@qq.com</t>
  </si>
  <si>
    <t>양원신</t>
  </si>
  <si>
    <t>010-7776-8361</t>
  </si>
  <si>
    <t>2553792661@qq.com</t>
  </si>
  <si>
    <t>협일주</t>
  </si>
  <si>
    <t>010-7659-2898</t>
  </si>
  <si>
    <t>1109291893@qq.com</t>
  </si>
  <si>
    <t>위자청</t>
  </si>
  <si>
    <t>010-9762-6822</t>
  </si>
  <si>
    <t>2671023289@qq.com</t>
  </si>
  <si>
    <t>A. 성공적인 결과물 (目标达成) (成功的产物/成果)</t>
  </si>
  <si>
    <t>主要基于地理邻近性形成，成员之间凝聚力强。</t>
  </si>
  <si>
    <t>원맹요</t>
  </si>
  <si>
    <t>010-5173-0752</t>
  </si>
  <si>
    <t>2256771714@qq.com</t>
  </si>
  <si>
    <t>C. 경영진 보고서 (管理层报告)</t>
  </si>
  <si>
    <t>장택호</t>
  </si>
  <si>
    <t>010-2159-3160</t>
  </si>
  <si>
    <t>905090971@qq.com</t>
  </si>
  <si>
    <t>오이가</t>
  </si>
  <si>
    <t>010-8168-2097</t>
  </si>
  <si>
    <t>1417585421@qq.com</t>
  </si>
  <si>
    <t>우도</t>
  </si>
  <si>
    <t>010-5723-7870</t>
  </si>
  <si>
    <t>2836190278@qq.com</t>
  </si>
  <si>
    <t>A. 프로젝트 콘텐츠 (项目内容/产出物), D. 팀원들의 개인정보 (团队成员的个人信息)</t>
  </si>
  <si>
    <t>广告 (Advertising)：通过基于用户数据的定制广告获取收入。</t>
  </si>
  <si>
    <t>通过单向通信传递信息，用户之间的互动有限。</t>
  </si>
  <si>
    <t>以项目总成本是否最高作为标准。</t>
  </si>
  <si>
    <t>도말남</t>
  </si>
  <si>
    <t>010-2239-5296</t>
  </si>
  <si>
    <t>19953163390@163.com</t>
  </si>
  <si>
    <t>장항예</t>
  </si>
  <si>
    <t>010-5659-7057</t>
  </si>
  <si>
    <t>zhr1660896198@163.com</t>
  </si>
  <si>
    <t>동욱성</t>
  </si>
  <si>
    <t>010-8250-9362</t>
  </si>
  <si>
    <t>2315570141@qq.com</t>
  </si>
  <si>
    <t>왕효리</t>
  </si>
  <si>
    <t>010-3969-9256</t>
  </si>
  <si>
    <t>1058561233@qq.com</t>
  </si>
  <si>
    <t>保护 (Protection)</t>
  </si>
  <si>
    <t>信息传播缓慢，主要倾向于由少数领导者控制。</t>
  </si>
  <si>
    <t>客户服务</t>
  </si>
  <si>
    <t>전자의</t>
  </si>
  <si>
    <t>010-8417-8079</t>
  </si>
  <si>
    <t>1799058590@qq.com</t>
  </si>
  <si>
    <t>원재모</t>
  </si>
  <si>
    <t>010-9689-1623</t>
  </si>
  <si>
    <t>18906191623@163.com</t>
  </si>
  <si>
    <t>장양</t>
  </si>
  <si>
    <t>010-6891-5163</t>
  </si>
  <si>
    <t>2747324077@qq.com</t>
  </si>
  <si>
    <t>오강</t>
  </si>
  <si>
    <t>010-5862-8327</t>
  </si>
  <si>
    <t>826271866@qq.com</t>
  </si>
  <si>
    <t>B. 팀 역량의 성장 (团队能力/素质的成长)</t>
  </si>
  <si>
    <t>초함지</t>
  </si>
  <si>
    <t>010-5549-8621</t>
  </si>
  <si>
    <t>3504872117@qq.com</t>
  </si>
  <si>
    <t>验证用户身份并授予系统访问权限的技术。</t>
  </si>
  <si>
    <t>왕자선</t>
  </si>
  <si>
    <t>010-6615-9562</t>
  </si>
  <si>
    <t>1160383135@qq.com</t>
  </si>
  <si>
    <t>담신학</t>
  </si>
  <si>
    <t>010-8190-7671</t>
  </si>
  <si>
    <t>1809602781@qq.com</t>
  </si>
  <si>
    <t>D. 프로젝트 관리 (项目管理)</t>
  </si>
  <si>
    <t>数据泄露的担忧减少，安全控制变得容易。</t>
  </si>
  <si>
    <t>战略、价值链、产业结构、流程、安全</t>
  </si>
  <si>
    <t>黑客试图渗透系统的行为</t>
  </si>
  <si>
    <t>可能对系统或数据造成损害的潜在风险因素。</t>
  </si>
  <si>
    <t>验证备份数据可恢复性的测试是浪费时间，可以省略。</t>
  </si>
  <si>
    <t>왕자함</t>
  </si>
  <si>
    <t>010-8265-9085</t>
  </si>
  <si>
    <t>3026199392@qq.com</t>
  </si>
  <si>
    <t>장서원</t>
  </si>
  <si>
    <t>010-8173-6015</t>
  </si>
  <si>
    <t>13220668660@163.com</t>
  </si>
  <si>
    <t>양자건</t>
  </si>
  <si>
    <t>010-5793-1865</t>
  </si>
  <si>
    <t>3120046869@qq.com</t>
  </si>
  <si>
    <t>하완명</t>
  </si>
  <si>
    <t>010-5163-8532</t>
  </si>
  <si>
    <t>1652269355@qq.com</t>
  </si>
  <si>
    <t>문미기</t>
  </si>
  <si>
    <t>010-2187-7281</t>
  </si>
  <si>
    <t>1590240163@qq.com</t>
  </si>
  <si>
    <t>A. 전략적 의사결정 (战略性决策)</t>
  </si>
  <si>
    <t>通过部门专业化系统，专业性得到加强。</t>
  </si>
  <si>
    <t>提高客户满意度以实现组织的战略目标。</t>
  </si>
  <si>
    <t>考虑将所有业务功能委托给外部专业公司。</t>
  </si>
  <si>
    <t>장우</t>
  </si>
  <si>
    <t>010-9859-8823</t>
  </si>
  <si>
    <t>1084882370@qq.com</t>
  </si>
  <si>
    <t>流程结构会随着组织的变化而迅速适应和改变。</t>
  </si>
  <si>
    <t>自动化特定工作组或单个部门的业务流程。</t>
  </si>
  <si>
    <t>왕욱상</t>
  </si>
  <si>
    <t>010-5658-6392</t>
  </si>
  <si>
    <t>2530511788@qq.com</t>
  </si>
  <si>
    <t>A. 정보 공유 (信息共享)</t>
  </si>
  <si>
    <t>B. 프로젝트 메타데이터 (项目元数据), C. 경영진 보고서 (管理层报告)</t>
  </si>
  <si>
    <t>SCM</t>
  </si>
  <si>
    <t>维持部门独立的系统</t>
  </si>
  <si>
    <t>장신월</t>
  </si>
  <si>
    <t>010-8490-2075</t>
  </si>
  <si>
    <t>975913479@qq.com</t>
  </si>
  <si>
    <t>한가정</t>
  </si>
  <si>
    <t>010-4836-8954</t>
  </si>
  <si>
    <t>814792760@qq.com</t>
  </si>
  <si>
    <t>황예</t>
  </si>
  <si>
    <t>010-5708-4575</t>
  </si>
  <si>
    <t>18167296493@163.com</t>
  </si>
  <si>
    <t>섭청문</t>
  </si>
  <si>
    <t>010-2197-5039</t>
  </si>
  <si>
    <t>550888150@qq.com</t>
  </si>
  <si>
    <t>왕악침</t>
  </si>
  <si>
    <t>010-4366-9257</t>
  </si>
  <si>
    <t>418629596@qq.com</t>
  </si>
  <si>
    <t>조영영</t>
  </si>
  <si>
    <t>010-2163-7131</t>
  </si>
  <si>
    <t>Cyy12yy@163.com</t>
  </si>
  <si>
    <t>무정정</t>
  </si>
  <si>
    <t>010-5856-4606</t>
  </si>
  <si>
    <t>wutingting040406@naver.com</t>
  </si>
  <si>
    <t>서문옥</t>
  </si>
  <si>
    <t>010-5709-6027</t>
  </si>
  <si>
    <t>xuwenyu0627@124mail.cn</t>
  </si>
  <si>
    <t>육희</t>
  </si>
  <si>
    <t>010-8481-0239</t>
  </si>
  <si>
    <t>2022461873@qq.com</t>
  </si>
  <si>
    <t>진낙</t>
  </si>
  <si>
    <t>010-5831-0589</t>
  </si>
  <si>
    <t>941475258@qq.com</t>
  </si>
  <si>
    <t>손단</t>
  </si>
  <si>
    <t>010-5865-8185</t>
  </si>
  <si>
    <t>noxistasia@naver.com</t>
  </si>
  <si>
    <t>부일소</t>
  </si>
  <si>
    <t>010-7641-9026</t>
  </si>
  <si>
    <t>2199262853@qq.com</t>
  </si>
  <si>
    <t>왕예</t>
  </si>
  <si>
    <t>010-9607-8986</t>
  </si>
  <si>
    <t>wangye19980908@gmail.com</t>
  </si>
  <si>
    <t>팽흠호</t>
  </si>
  <si>
    <t>010-3498-8335</t>
  </si>
  <si>
    <t>pengqinhao2025@outlook.com</t>
  </si>
  <si>
    <t>우국강</t>
  </si>
  <si>
    <t>010-3465-8546</t>
  </si>
  <si>
    <t>niunovo@gmail.com</t>
  </si>
  <si>
    <t>정미우</t>
  </si>
  <si>
    <t>010-8308-6509</t>
  </si>
  <si>
    <t>clf5555@vip.qq.com</t>
  </si>
  <si>
    <t>위험과 비용, 편의성 사이의 적절한 균형을 찾는 것이다.</t>
  </si>
  <si>
    <t>모든 보안 위험을 0으로 만드는 것은 현실적으로 불가능하며 비효율적이기 때문이다.</t>
  </si>
  <si>
    <t>보안 패치가 적용되지 않은 오래된 소프트웨어</t>
  </si>
  <si>
    <t>위협이 시스템이나 데이터에 접근하여 손상을 입힐 수 있게 하는 약점이다.</t>
  </si>
  <si>
    <t>데이터를 권한 없는 사람이 이해할 수 없도록 변환하여 보호하는 기술이다.</t>
  </si>
  <si>
    <t>네트워크 트래픽을 미리 정해진 규칙에 따라 허용하거나 차단한다.</t>
  </si>
  <si>
    <t>주로 기술 부서에서만 수립하고 이행하는 기술적 문제이다.</t>
  </si>
  <si>
    <t>백업 데이터가 실제로 복구되는지 정기적으로 테스트하는 것이 매우 중요하다.</t>
  </si>
  <si>
    <t>종서영</t>
  </si>
  <si>
    <t>010-8350-2665</t>
  </si>
  <si>
    <t>Zong020603@gmail.com</t>
  </si>
  <si>
    <t>왕우상</t>
  </si>
  <si>
    <t>010-7486-9190</t>
  </si>
  <si>
    <t>1278012014@qq.com</t>
  </si>
  <si>
    <t>조가일</t>
  </si>
  <si>
    <t>010-8175-1550</t>
  </si>
  <si>
    <t>A15763863091@163.com</t>
  </si>
  <si>
    <t>주차</t>
  </si>
  <si>
    <t>언어/버전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</si>
  <si>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</si>
  <si>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</si>
  <si>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</si>
  <si>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</si>
  <si>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</si>
  <si>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</si>
  <si>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</si>
  <si>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</si>
  <si>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</si>
  <si>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</si>
  <si>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정답(한중병기)</t>
  </si>
  <si>
    <t>보조</t>
  </si>
  <si>
    <t>한국어</t>
  </si>
  <si>
    <t>中文</t>
  </si>
  <si>
    <t>항목</t>
  </si>
  <si>
    <t>응답 원자료 행수</t>
  </si>
  <si>
    <t>고유 응답자 수</t>
  </si>
  <si>
    <t>수강생명단 반영 수</t>
  </si>
  <si>
    <t>중복응답 제외 수</t>
  </si>
  <si>
    <t>미매칭 응답 수</t>
  </si>
  <si>
    <t>미응답 수강생 수</t>
  </si>
  <si>
    <t>반영대상 평균점수</t>
  </si>
  <si>
    <t>원자료 행</t>
  </si>
  <si>
    <t>제출시각</t>
  </si>
  <si>
    <t>입력 학번</t>
  </si>
  <si>
    <t>매칭 학번</t>
  </si>
  <si>
    <t>이름/추정명</t>
  </si>
  <si>
    <t>점수</t>
  </si>
  <si>
    <t>처리</t>
  </si>
  <si>
    <t>2026-05-11 14:03:00</t>
  </si>
  <si>
    <t>20240667</t>
  </si>
  <si>
    <t>반영 제외: 최초응답 원자료 행 34 사용</t>
  </si>
  <si>
    <t>2026-05-12 10:20:26</t>
  </si>
  <si>
    <t>20220153</t>
  </si>
  <si>
    <t>반영 제외: 최초응답 원자료 행 66 사용</t>
  </si>
  <si>
    <t>2026-05-12 12:07:51</t>
  </si>
  <si>
    <t>20220179</t>
  </si>
  <si>
    <t>반영 제외: 최초응답 원자료 행 81 사용</t>
  </si>
  <si>
    <t>2026-05-12 12:07:54</t>
  </si>
  <si>
    <t>2026-05-12 12:08:35</t>
  </si>
  <si>
    <t>20220171</t>
  </si>
  <si>
    <t>반영 제외: 최초응답 원자료 행 79 사용</t>
  </si>
  <si>
    <t>2026-05-12 12:08:44</t>
  </si>
  <si>
    <t>2026-05-26 12:37:42</t>
  </si>
  <si>
    <t>20220189</t>
  </si>
  <si>
    <t>반영 제외: 최초응답 원자료 행 70 사용</t>
  </si>
  <si>
    <t>추정/정규화 학번</t>
  </si>
  <si>
    <t>사유</t>
  </si>
  <si>
    <t>2026-05-06 08:14:32</t>
  </si>
  <si>
    <t>991389</t>
  </si>
  <si>
    <t>수강생명단에서 학번/이름 확인 불가</t>
  </si>
  <si>
    <t>2026-05-06 14:49:02</t>
  </si>
  <si>
    <t>20239484</t>
  </si>
  <si>
    <t>입력 학번/값</t>
  </si>
  <si>
    <t>보정 반영 학번</t>
  </si>
  <si>
    <t>보정 방식</t>
  </si>
  <si>
    <t>2026-04-28 12:38:55</t>
  </si>
  <si>
    <t>21220183</t>
  </si>
  <si>
    <t>20220183</t>
  </si>
  <si>
    <t>성명보정(21220183)</t>
  </si>
  <si>
    <t>2026-05-18 15:20:17</t>
  </si>
  <si>
    <t>20250949이성민</t>
  </si>
  <si>
    <t>20250940</t>
  </si>
  <si>
    <t>입력값성명보정(20250949)</t>
  </si>
  <si>
    <t>2026-04-28 10:27:23</t>
  </si>
  <si>
    <t>20220130 / 가경람</t>
  </si>
  <si>
    <t>20220130</t>
  </si>
  <si>
    <t>명단추가 후 학번일치 반영(이름표기 차이)</t>
  </si>
  <si>
    <t>결석차시</t>
  </si>
  <si>
    <t>출석점수(30)</t>
  </si>
  <si>
    <t>중간고사(20)</t>
  </si>
  <si>
    <t>총점(80)</t>
  </si>
  <si>
    <t>총점석차(분반)</t>
  </si>
  <si>
    <t>강제F사유</t>
  </si>
  <si>
    <t>평점</t>
  </si>
  <si>
    <t>A+</t>
  </si>
  <si>
    <t>A0</t>
  </si>
  <si>
    <t>B+</t>
  </si>
  <si>
    <t>B0</t>
  </si>
  <si>
    <t>F</t>
  </si>
  <si>
    <t>출석초과</t>
  </si>
  <si>
    <t>비고</t>
  </si>
  <si>
    <t>01</t>
  </si>
  <si>
    <t>20251606</t>
  </si>
  <si>
    <t>20251909</t>
  </si>
  <si>
    <t>출미</t>
  </si>
  <si>
    <t>20250935</t>
  </si>
  <si>
    <t>20250936</t>
  </si>
  <si>
    <t>20240665</t>
  </si>
  <si>
    <t>20251670</t>
  </si>
  <si>
    <t>20240666</t>
  </si>
  <si>
    <t>23310011</t>
  </si>
  <si>
    <t>20251672</t>
  </si>
  <si>
    <t>20251910</t>
  </si>
  <si>
    <t>24510006</t>
  </si>
  <si>
    <t>20220034</t>
  </si>
  <si>
    <t>20240033</t>
  </si>
  <si>
    <t>20240812</t>
  </si>
  <si>
    <t>20220036</t>
  </si>
  <si>
    <t>20250939</t>
  </si>
  <si>
    <t>24510097</t>
  </si>
  <si>
    <t>20251913</t>
  </si>
  <si>
    <t>20250944</t>
  </si>
  <si>
    <t>20230474</t>
  </si>
  <si>
    <t>20230421</t>
  </si>
  <si>
    <t>20230422</t>
  </si>
  <si>
    <t>20250945</t>
  </si>
  <si>
    <t>20251915</t>
  </si>
  <si>
    <t>02</t>
  </si>
  <si>
    <t>가경람</t>
  </si>
  <si>
    <t>20220131</t>
  </si>
  <si>
    <t>20220132</t>
  </si>
  <si>
    <t>20220133</t>
  </si>
  <si>
    <t>20220134</t>
  </si>
  <si>
    <t>20220139</t>
  </si>
  <si>
    <t>20220140</t>
  </si>
  <si>
    <t>20220141</t>
  </si>
  <si>
    <t>20220142</t>
  </si>
  <si>
    <t>20220143</t>
  </si>
  <si>
    <t>20220144</t>
  </si>
  <si>
    <t>20220145</t>
  </si>
  <si>
    <t>20220146</t>
  </si>
  <si>
    <t>20220147</t>
  </si>
  <si>
    <t>20220149</t>
  </si>
  <si>
    <t>20220151</t>
  </si>
  <si>
    <t>20220152</t>
  </si>
  <si>
    <t>20220154</t>
  </si>
  <si>
    <t>20220159</t>
  </si>
  <si>
    <t>20220169</t>
  </si>
  <si>
    <t>20220170</t>
  </si>
  <si>
    <t>20220178</t>
  </si>
  <si>
    <t>20220180</t>
  </si>
  <si>
    <t>20220181</t>
  </si>
  <si>
    <t>20220182</t>
  </si>
  <si>
    <t>20220184</t>
  </si>
  <si>
    <t>20220185</t>
  </si>
  <si>
    <t>20220188</t>
  </si>
  <si>
    <t>20220190</t>
  </si>
  <si>
    <t>20220191</t>
  </si>
  <si>
    <t>20220192</t>
  </si>
  <si>
    <t>03</t>
  </si>
  <si>
    <t>20220135</t>
  </si>
  <si>
    <t>20220136</t>
  </si>
  <si>
    <t>20220137</t>
  </si>
  <si>
    <t>20220138</t>
  </si>
  <si>
    <t>20220148</t>
  </si>
  <si>
    <t>20220150</t>
  </si>
  <si>
    <t>20220155</t>
  </si>
  <si>
    <t>20220156</t>
  </si>
  <si>
    <t>20220157</t>
  </si>
  <si>
    <t>20220158</t>
  </si>
  <si>
    <t>20220160</t>
  </si>
  <si>
    <t>20220161</t>
  </si>
  <si>
    <t>20220162</t>
  </si>
  <si>
    <t>20220163</t>
  </si>
  <si>
    <t>20220164</t>
  </si>
  <si>
    <t>20220165</t>
  </si>
  <si>
    <t>20220166</t>
  </si>
  <si>
    <t>20220167</t>
  </si>
  <si>
    <t>20220168</t>
  </si>
  <si>
    <t>20220172</t>
  </si>
  <si>
    <t>20220173</t>
  </si>
  <si>
    <t>20220174</t>
  </si>
  <si>
    <t>20220175</t>
  </si>
  <si>
    <t>20220176</t>
  </si>
  <si>
    <t>20220177</t>
  </si>
  <si>
    <t>20220186</t>
  </si>
  <si>
    <t>20220187</t>
  </si>
  <si>
    <t>04</t>
  </si>
  <si>
    <t>20230479</t>
  </si>
  <si>
    <t>20230480</t>
  </si>
  <si>
    <t>20230481</t>
  </si>
  <si>
    <t>20230482</t>
  </si>
  <si>
    <t>20240811</t>
  </si>
  <si>
    <t>20230483</t>
  </si>
  <si>
    <t>20230484</t>
  </si>
  <si>
    <t>20230485</t>
  </si>
  <si>
    <t>20230486</t>
  </si>
  <si>
    <t>20230487</t>
  </si>
  <si>
    <t>20230488</t>
  </si>
  <si>
    <t>20230489</t>
  </si>
  <si>
    <t>20230490</t>
  </si>
  <si>
    <t>20240813</t>
  </si>
  <si>
    <t>20230491</t>
  </si>
  <si>
    <t>20230492</t>
  </si>
  <si>
    <t>20230493</t>
  </si>
  <si>
    <t>20230494</t>
  </si>
  <si>
    <t>20230495</t>
  </si>
  <si>
    <t>강승회(20####06)</t>
  </si>
  <si>
    <t>고하우(20####09)</t>
  </si>
  <si>
    <t>김가민(20####35)</t>
  </si>
  <si>
    <t>김상민(20####36)</t>
  </si>
  <si>
    <t>김재환(20####65)</t>
  </si>
  <si>
    <t>김준우(20####70)</t>
  </si>
  <si>
    <t>김준환(20####66)</t>
  </si>
  <si>
    <t>김호영(23####11)</t>
  </si>
  <si>
    <t>박건우(20####72)</t>
  </si>
  <si>
    <t>서만(20####10)</t>
  </si>
  <si>
    <t>송유안(24####06)</t>
  </si>
  <si>
    <t>송진근(20####67)</t>
  </si>
  <si>
    <t>양곤(20####34)</t>
  </si>
  <si>
    <t>양우철(20####33)</t>
  </si>
  <si>
    <t>응옌 티 쑤언 꾸인(20####12)</t>
  </si>
  <si>
    <t>이가기(20####36)</t>
  </si>
  <si>
    <t>이동윤(20####39)</t>
  </si>
  <si>
    <t>이성민(20####40)</t>
  </si>
  <si>
    <t>이지영(24####97)</t>
  </si>
  <si>
    <t>장호연(20####13)</t>
  </si>
  <si>
    <t>정유은(20####44)</t>
  </si>
  <si>
    <t>조동령(20####74)</t>
  </si>
  <si>
    <t>주세남(20####21)</t>
  </si>
  <si>
    <t>쩐응옥휘(20####22)</t>
  </si>
  <si>
    <t>최민주(20####45)</t>
  </si>
  <si>
    <t>호티안뚜엔(20####15)</t>
  </si>
  <si>
    <t>가경람(20####30)</t>
  </si>
  <si>
    <t>강합문호(20####31)</t>
  </si>
  <si>
    <t>고천양(20####32)</t>
  </si>
  <si>
    <t>고흔이(20####33)</t>
  </si>
  <si>
    <t>곽우봉(20####34)</t>
  </si>
  <si>
    <t>류개예(20####39)</t>
  </si>
  <si>
    <t>류로요(20####40)</t>
  </si>
  <si>
    <t>류명혜(20####41)</t>
  </si>
  <si>
    <t>류사기(20####42)</t>
  </si>
  <si>
    <t>류양(20####43)</t>
  </si>
  <si>
    <t>류자명(20####44)</t>
  </si>
  <si>
    <t>류종준(20####45)</t>
  </si>
  <si>
    <t>류흔(20####46)</t>
  </si>
  <si>
    <t>맹수(20####47)</t>
  </si>
  <si>
    <t>반림(20####49)</t>
  </si>
  <si>
    <t>성개(20####51)</t>
  </si>
  <si>
    <t>손가의(20####52)</t>
  </si>
  <si>
    <t>손정의(20####53)</t>
  </si>
  <si>
    <t>시지열(20####54)</t>
  </si>
  <si>
    <t>완정(20####59)</t>
  </si>
  <si>
    <t>이소(20####69)</t>
  </si>
  <si>
    <t>이원(20####70)</t>
  </si>
  <si>
    <t>전일남(20####78)</t>
  </si>
  <si>
    <t>제효휘(20####80)</t>
  </si>
  <si>
    <t>조맹우(20####81)</t>
  </si>
  <si>
    <t>조염흔(20####82)</t>
  </si>
  <si>
    <t>진발강(20####84)</t>
  </si>
  <si>
    <t>진사연(20####85)</t>
  </si>
  <si>
    <t>하호인(20####88)</t>
  </si>
  <si>
    <t>호산(20####90)</t>
  </si>
  <si>
    <t>황개희(20####91)</t>
  </si>
  <si>
    <t>후택예(20####92)</t>
  </si>
  <si>
    <t>담신학(20####35)</t>
  </si>
  <si>
    <t>도기서(20####36)</t>
  </si>
  <si>
    <t>도말남(20####37)</t>
  </si>
  <si>
    <t>동욱성(20####38)</t>
  </si>
  <si>
    <t>문미기(20####48)</t>
  </si>
  <si>
    <t>서문(20####50)</t>
  </si>
  <si>
    <t>양원신(20####55)</t>
  </si>
  <si>
    <t>양자건(20####56)</t>
  </si>
  <si>
    <t>오강(20####57)</t>
  </si>
  <si>
    <t>오이가(20####58)</t>
  </si>
  <si>
    <t>왕욱상(20####60)</t>
  </si>
  <si>
    <t>왕자선(20####61)</t>
  </si>
  <si>
    <t>왕자함(20####62)</t>
  </si>
  <si>
    <t>왕지정(20####63)</t>
  </si>
  <si>
    <t>왕효리(20####64)</t>
  </si>
  <si>
    <t>우도(20####65)</t>
  </si>
  <si>
    <t>원맹요(20####66)</t>
  </si>
  <si>
    <t>원재모(20####67)</t>
  </si>
  <si>
    <t>위자청(20####68)</t>
  </si>
  <si>
    <t>장서원(20####71)</t>
  </si>
  <si>
    <t>장양(20####72)</t>
  </si>
  <si>
    <t>장우(20####73)</t>
  </si>
  <si>
    <t>장자가(20####74)</t>
  </si>
  <si>
    <t>장추실(20####75)</t>
  </si>
  <si>
    <t>장택호(20####76)</t>
  </si>
  <si>
    <t>장항예(20####77)</t>
  </si>
  <si>
    <t>전자의(20####79)</t>
  </si>
  <si>
    <t>좌영영(20####83)</t>
  </si>
  <si>
    <t>초함지(20####86)</t>
  </si>
  <si>
    <t>하완명(20####87)</t>
  </si>
  <si>
    <t>협일주(20####89)</t>
  </si>
  <si>
    <t>무정정(20####79)</t>
  </si>
  <si>
    <t>부일소(20####80)</t>
  </si>
  <si>
    <t>서문옥(20####81)</t>
  </si>
  <si>
    <t>섭청문(20####82)</t>
  </si>
  <si>
    <t>손단(20####11)</t>
  </si>
  <si>
    <t>왕악침(20####83)</t>
  </si>
  <si>
    <t>왕예(20####84)</t>
  </si>
  <si>
    <t>왕우상(20####85)</t>
  </si>
  <si>
    <t>우국강(20####86)</t>
  </si>
  <si>
    <t>육희(20####87)</t>
  </si>
  <si>
    <t>장신월(20####88)</t>
  </si>
  <si>
    <t>정미우(20####89)</t>
  </si>
  <si>
    <t>조가일(20####90)</t>
  </si>
  <si>
    <t>조영영(20####13)</t>
  </si>
  <si>
    <t>종서영(20####91)</t>
  </si>
  <si>
    <t>진낙(20####92)</t>
  </si>
  <si>
    <t>팽흠호(20####93)</t>
  </si>
  <si>
    <t>한가정(20####94)</t>
  </si>
  <si>
    <t>황예(20####95)</t>
  </si>
  <si>
    <t>기준</t>
  </si>
  <si>
    <t>출석 만점</t>
  </si>
  <si>
    <t>30점</t>
  </si>
  <si>
    <t>PDF 출석부 오른쪽 끝 '결석일수'를 결석차시로 사용</t>
  </si>
  <si>
    <t>출석 감점</t>
  </si>
  <si>
    <t>결석 3차시당 2점</t>
  </si>
  <si>
    <t>출석점수 = 30 - 결석차시 × 2/3</t>
  </si>
  <si>
    <t>출석 초과</t>
  </si>
  <si>
    <t>결석차시 12 초과</t>
  </si>
  <si>
    <t>출석점수 0점, 총점 0점, 평점 F</t>
  </si>
  <si>
    <t>중간고사 없음</t>
  </si>
  <si>
    <t>중간고사 점수 미매칭/공란</t>
  </si>
  <si>
    <t>총점은 계산하되 평점 F</t>
  </si>
  <si>
    <t>평점 산정</t>
  </si>
  <si>
    <t>분반별 총점 순위</t>
  </si>
  <si>
    <t>A+ 17%, A0 10%, B+ 25%, B0 10%, 나머지 F</t>
  </si>
  <si>
    <t>인원 산정</t>
  </si>
  <si>
    <t>분반 전체 재학생 기준</t>
  </si>
  <si>
    <t>비율 인원은 ROUNDDOWN 적용</t>
  </si>
  <si>
    <t>동점 처리</t>
  </si>
  <si>
    <t>같은 총점은 같은 등급</t>
  </si>
  <si>
    <t>동점으로 비율 초과 가능</t>
  </si>
  <si>
    <t>1</t>
  </si>
  <si>
    <t>2</t>
  </si>
  <si>
    <t>3</t>
  </si>
  <si>
    <t>4</t>
  </si>
  <si>
    <t>인원</t>
  </si>
  <si>
    <t>강제F</t>
  </si>
  <si>
    <t>결석수</t>
    <phoneticPr fontId="5" type="noConversion"/>
  </si>
  <si>
    <t>비고</t>
    <phoneticPr fontId="5" type="noConversion"/>
  </si>
  <si>
    <t>결석초과</t>
    <phoneticPr fontId="5" type="noConversion"/>
  </si>
  <si>
    <t>기말고사(20)</t>
    <phoneticPr fontId="5" type="noConversion"/>
  </si>
  <si>
    <t>총점(100)</t>
    <phoneticPr fontId="5" type="noConversion"/>
  </si>
  <si>
    <t>석차(분반)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</si>
</sst>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_ "/>
  </numFmts>
  <fonts count="8" x14ac:knownFonts="1">
    <font>
      <sz val="11"/>
      <color theme="1"/>
      <name val="맑은 고딕"/>
    </font>
    <font>
      <b/>
      <sz val="10"/>
      <color rgb="FFFFFFFF"/>
      <name val="Noto Sans KR"/>
      <family val="3"/>
      <charset val="129"/>
    </font>
    <font>
      <sz val="10"/>
      <color rgb="FF666666"/>
      <name val="Noto Sans KR"/>
      <family val="3"/>
      <charset val="129"/>
    </font>
    <font>
      <sz val="10"/>
      <color theme="1"/>
      <name val="Noto Sans KR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10"/>
      <color theme="0"/>
      <name val="Noto Sans KR"/>
      <family val="3"/>
      <charset val="129"/>
    </font>
    <font>
      <b/>
      <sz val="11"/>
      <color rgb="FFFFFFFF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76" fontId="3" fillId="0" borderId="0" xfId="0" applyNumberFormat="1" applyFont="1" applyAlignment="1">
      <alignment horizontal="center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1" fontId="3" fillId="0" borderId="1" xfId="0" applyNumberFormat="1" applyFont="1" applyBorder="1">
      <alignment vertical="center"/>
    </xf>
    <xf numFmtId="1" fontId="3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>
      <alignment vertical="center"/>
    </xf>
    <xf numFmtId="1" fontId="3" fillId="0" borderId="2" xfId="0" applyNumberFormat="1" applyFont="1" applyBorder="1">
      <alignment vertical="center"/>
    </xf>
    <xf numFmtId="1" fontId="3" fillId="0" borderId="9" xfId="0" applyNumberFormat="1" applyFont="1" applyBorder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2" xfId="0" applyBorder="1">
      <alignment vertical="center"/>
    </xf>
    <xf numFmtId="0" fontId="7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7" fontId="0" fillId="0" borderId="4" xfId="0" applyNumberFormat="1" applyBorder="1">
      <alignment vertical="center"/>
    </xf>
    <xf numFmtId="177" fontId="0" fillId="0" borderId="1" xfId="0" applyNumberFormat="1" applyBorder="1">
      <alignment vertical="center"/>
    </xf>
    <xf numFmtId="177" fontId="0" fillId="0" borderId="2" xfId="0" applyNumberFormat="1" applyBorder="1">
      <alignment vertical="center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표준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  <numFmt numFmtId="177" formatCode="0.0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  <numFmt numFmtId="177" formatCode="0.0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  <numFmt numFmtId="177" formatCode="0.0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7" formatCode="0.0_ "/>
    </dxf>
    <dxf>
      <border outline="0">
        <left style="thin">
          <color indexed="64"/>
        </left>
      </border>
    </dxf>
    <dxf>
      <alignment horizontal="left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izMatchTable" displayName="QuizMatchTable" ref="A1:BT109" headerRowDxfId="11">
  <sortState xmlns:xlrd2="http://schemas.microsoft.com/office/spreadsheetml/2017/richdata2" ref="A2:BT109">
    <sortCondition ref="B2:B109"/>
    <sortCondition ref="C2:C109"/>
    <sortCondition descending="1" ref="BQ2:BQ109"/>
  </sortState>
  <tableColumns count="72">
    <tableColumn id="1" xr3:uid="{00000000-0010-0000-0000-000001000000}" name="학과" dataDxfId="10"/>
    <tableColumn id="2" xr3:uid="{00000000-0010-0000-0000-000002000000}" name="분반" dataDxfId="9"/>
    <tableColumn id="3" xr3:uid="{00000000-0010-0000-0000-000003000000}" name="학번"/>
    <tableColumn id="4" xr3:uid="{00000000-0010-0000-0000-000004000000}" name="이름"/>
    <tableColumn id="5" xr3:uid="{00000000-0010-0000-0000-000005000000}" name="전화번호"/>
    <tableColumn id="6" xr3:uid="{00000000-0010-0000-0000-000006000000}" name="이메일"/>
    <tableColumn id="7" xr3:uid="{00000000-0010-0000-0000-000007000000}" name="W07_Q01_응답"/>
    <tableColumn id="8" xr3:uid="{00000000-0010-0000-0000-000008000000}" name="W07_Q02_응답"/>
    <tableColumn id="9" xr3:uid="{00000000-0010-0000-0000-000009000000}" name="W07_Q03_응답"/>
    <tableColumn id="10" xr3:uid="{00000000-0010-0000-0000-00000A000000}" name="W07_Q04_응답"/>
    <tableColumn id="11" xr3:uid="{00000000-0010-0000-0000-00000B000000}" name="W07_Q05_응답"/>
    <tableColumn id="12" xr3:uid="{00000000-0010-0000-0000-00000C000000}" name="W07_Q06_응답"/>
    <tableColumn id="13" xr3:uid="{00000000-0010-0000-0000-00000D000000}" name="W07_Q07_응답"/>
    <tableColumn id="14" xr3:uid="{00000000-0010-0000-0000-00000E000000}" name="W07_Q08_응답"/>
    <tableColumn id="15" xr3:uid="{00000000-0010-0000-0000-00000F000000}" name="W07_Q09_응답"/>
    <tableColumn id="16" xr3:uid="{00000000-0010-0000-0000-000010000000}" name="W07_Q10_응답"/>
    <tableColumn id="17" xr3:uid="{00000000-0010-0000-0000-000011000000}" name="W07"/>
    <tableColumn id="18" xr3:uid="{00000000-0010-0000-0000-000012000000}" name="W08_Q01_응답"/>
    <tableColumn id="19" xr3:uid="{00000000-0010-0000-0000-000013000000}" name="W08_Q02_응답"/>
    <tableColumn id="20" xr3:uid="{00000000-0010-0000-0000-000014000000}" name="W08_Q03_응답"/>
    <tableColumn id="21" xr3:uid="{00000000-0010-0000-0000-000015000000}" name="W08_Q04_응답"/>
    <tableColumn id="22" xr3:uid="{00000000-0010-0000-0000-000016000000}" name="W08_Q05_응답"/>
    <tableColumn id="23" xr3:uid="{00000000-0010-0000-0000-000017000000}" name="W08_Q06_응답"/>
    <tableColumn id="24" xr3:uid="{00000000-0010-0000-0000-000018000000}" name="W08_Q07_응답"/>
    <tableColumn id="25" xr3:uid="{00000000-0010-0000-0000-000019000000}" name="W08_Q08_응답"/>
    <tableColumn id="26" xr3:uid="{00000000-0010-0000-0000-00001A000000}" name="W08_Q09_응답"/>
    <tableColumn id="27" xr3:uid="{00000000-0010-0000-0000-00001B000000}" name="W08_Q10_응답"/>
    <tableColumn id="28" xr3:uid="{00000000-0010-0000-0000-00001C000000}" name="W08"/>
    <tableColumn id="29" xr3:uid="{00000000-0010-0000-0000-00001D000000}" name="W09_Q01_응답"/>
    <tableColumn id="30" xr3:uid="{00000000-0010-0000-0000-00001E000000}" name="W09_Q02_응답"/>
    <tableColumn id="31" xr3:uid="{00000000-0010-0000-0000-00001F000000}" name="W09_Q03_응답"/>
    <tableColumn id="32" xr3:uid="{00000000-0010-0000-0000-000020000000}" name="W09_Q04_응답"/>
    <tableColumn id="33" xr3:uid="{00000000-0010-0000-0000-000021000000}" name="W09_Q05_응답"/>
    <tableColumn id="34" xr3:uid="{00000000-0010-0000-0000-000022000000}" name="W09_Q06_응답"/>
    <tableColumn id="35" xr3:uid="{00000000-0010-0000-0000-000023000000}" name="W09_Q07_응답"/>
    <tableColumn id="36" xr3:uid="{00000000-0010-0000-0000-000024000000}" name="W09_Q08_응답"/>
    <tableColumn id="37" xr3:uid="{00000000-0010-0000-0000-000025000000}" name="W09_Q09_응답"/>
    <tableColumn id="38" xr3:uid="{00000000-0010-0000-0000-000026000000}" name="W09_Q10_응답"/>
    <tableColumn id="39" xr3:uid="{00000000-0010-0000-0000-000027000000}" name="W09"/>
    <tableColumn id="40" xr3:uid="{00000000-0010-0000-0000-000028000000}" name="W10_Q01_응답"/>
    <tableColumn id="41" xr3:uid="{00000000-0010-0000-0000-000029000000}" name="W10_Q02_응답"/>
    <tableColumn id="42" xr3:uid="{00000000-0010-0000-0000-00002A000000}" name="W10_Q03_응답"/>
    <tableColumn id="43" xr3:uid="{00000000-0010-0000-0000-00002B000000}" name="W10_Q04_응답"/>
    <tableColumn id="44" xr3:uid="{00000000-0010-0000-0000-00002C000000}" name="W10_Q05_응답"/>
    <tableColumn id="45" xr3:uid="{00000000-0010-0000-0000-00002D000000}" name="W10_Q06_응답"/>
    <tableColumn id="46" xr3:uid="{00000000-0010-0000-0000-00002E000000}" name="W10_Q07_응답"/>
    <tableColumn id="47" xr3:uid="{00000000-0010-0000-0000-00002F000000}" name="W10_Q08_응답"/>
    <tableColumn id="48" xr3:uid="{00000000-0010-0000-0000-000030000000}" name="W10_Q09_응답"/>
    <tableColumn id="49" xr3:uid="{00000000-0010-0000-0000-000031000000}" name="W10_Q10_응답"/>
    <tableColumn id="50" xr3:uid="{00000000-0010-0000-0000-000032000000}" name="W10"/>
    <tableColumn id="51" xr3:uid="{00000000-0010-0000-0000-000033000000}" name="W11_Q01_응답"/>
    <tableColumn id="52" xr3:uid="{00000000-0010-0000-0000-000034000000}" name="W11_Q02_응답"/>
    <tableColumn id="53" xr3:uid="{00000000-0010-0000-0000-000035000000}" name="W11_Q03_응답"/>
    <tableColumn id="54" xr3:uid="{00000000-0010-0000-0000-000036000000}" name="W11_Q04_응답"/>
    <tableColumn id="55" xr3:uid="{00000000-0010-0000-0000-000037000000}" name="W11_Q05_응답"/>
    <tableColumn id="56" xr3:uid="{00000000-0010-0000-0000-000038000000}" name="W11_Q06_응답"/>
    <tableColumn id="57" xr3:uid="{00000000-0010-0000-0000-000039000000}" name="W11_Q07_응답"/>
    <tableColumn id="58" xr3:uid="{00000000-0010-0000-0000-00003A000000}" name="W11_Q08_응답"/>
    <tableColumn id="59" xr3:uid="{00000000-0010-0000-0000-00003B000000}" name="W11_Q09_응답"/>
    <tableColumn id="60" xr3:uid="{00000000-0010-0000-0000-00003C000000}" name="W11_Q10_응답"/>
    <tableColumn id="61" xr3:uid="{00000000-0010-0000-0000-00003D000000}" name="W11"/>
    <tableColumn id="62" xr3:uid="{00000000-0010-0000-0000-00003E000000}" name="퀴즈합계"/>
    <tableColumn id="63" xr3:uid="{00000000-0010-0000-0000-00003F000000}" name="퀴즈응답수"/>
    <tableColumn id="64" xr3:uid="{00000000-0010-0000-0000-000040000000}" name="퀴즈점수(30)" dataDxfId="8"/>
    <tableColumn id="65" xr3:uid="{9EEF4C88-E1DD-4335-9667-B435B3758365}" name="출석점수(30)" dataDxfId="7"/>
    <tableColumn id="66" xr3:uid="{5CC5278A-AE21-4F21-AB6F-89ACA90EB2C6}" name="중간고사(20)" dataDxfId="6"/>
    <tableColumn id="67" xr3:uid="{8639FE46-3778-488C-B1A8-36211348C954}" name="기말고사(20)" dataDxfId="5"/>
    <tableColumn id="68" xr3:uid="{A5352C94-33CD-45D0-8273-5C7861BE0741}" name="총점(100)" dataDxfId="4">
      <calculatedColumnFormula>SUM(QuizMatchTable[[#This Row],[퀴즈점수(30)]],BM2,BN2,BO2)</calculatedColumnFormula>
    </tableColumn>
    <tableColumn id="69" xr3:uid="{BD8BB9F5-8D77-4AE2-95DE-DC4F663049BC}" name="석차(분반)" dataDxfId="3">
      <calculatedColumnFormula>IF(OR(BP2="",BP2=0,BT2="결석초과"),"",COUNTIFS($B$2:$B$109,B2,$BP$2:$BP$109,"&gt;"&amp;BP2)+1)</calculatedColumnFormula>
    </tableColumn>
    <tableColumn id="70" xr3:uid="{5260C92C-5117-41C3-B343-4BCBD3B2B43C}" name="평점" dataDxfId="2"/>
    <tableColumn id="71" xr3:uid="{DFE85E12-1CAC-4AD4-90EB-877369B9D99B}" name="결석수" dataDxfId="1"/>
    <tableColumn id="72" xr3:uid="{A4E75053-FF1D-4250-8F90-1EE4D1F42FBC}" name="비고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swerKeyTable" displayName="AnswerKeyTable" ref="A1:L11">
  <tableColumns count="12">
    <tableColumn id="1" xr3:uid="{00000000-0010-0000-0100-000001000000}" name="주차"/>
    <tableColumn id="2" xr3:uid="{00000000-0010-0000-0100-000002000000}" name="언어/버전"/>
    <tableColumn id="3" xr3:uid="{00000000-0010-0000-0100-000003000000}" name="Q01"/>
    <tableColumn id="4" xr3:uid="{00000000-0010-0000-0100-000004000000}" name="Q02"/>
    <tableColumn id="5" xr3:uid="{00000000-0010-0000-0100-000005000000}" name="Q03"/>
    <tableColumn id="6" xr3:uid="{00000000-0010-0000-0100-000006000000}" name="Q04"/>
    <tableColumn id="7" xr3:uid="{00000000-0010-0000-0100-000007000000}" name="Q05"/>
    <tableColumn id="8" xr3:uid="{00000000-0010-0000-0100-000008000000}" name="Q06"/>
    <tableColumn id="9" xr3:uid="{00000000-0010-0000-0100-000009000000}" name="Q07"/>
    <tableColumn id="10" xr3:uid="{00000000-0010-0000-0100-00000A000000}" name="Q08"/>
    <tableColumn id="11" xr3:uid="{00000000-0010-0000-0100-00000B000000}" name="Q09"/>
    <tableColumn id="12" xr3:uid="{00000000-0010-0000-0100-00000C000000}" name="Q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cessSummaryTable" displayName="ProcessSummaryTable" ref="A1:F8">
  <tableColumns count="6">
    <tableColumn id="1" xr3:uid="{00000000-0010-0000-0200-000001000000}" name="항목"/>
    <tableColumn id="2" xr3:uid="{00000000-0010-0000-0200-000002000000}" name="W07"/>
    <tableColumn id="3" xr3:uid="{00000000-0010-0000-0200-000003000000}" name="W08"/>
    <tableColumn id="4" xr3:uid="{00000000-0010-0000-0200-000004000000}" name="W09"/>
    <tableColumn id="5" xr3:uid="{00000000-0010-0000-0200-000005000000}" name="W10"/>
    <tableColumn id="6" xr3:uid="{00000000-0010-0000-0200-000006000000}" name="W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uplicateResponseTable" displayName="DuplicateResponseTable" ref="A1:H8">
  <tableColumns count="8">
    <tableColumn id="1" xr3:uid="{00000000-0010-0000-0300-000001000000}" name="주차"/>
    <tableColumn id="2" xr3:uid="{00000000-0010-0000-0300-000002000000}" name="원자료 행"/>
    <tableColumn id="3" xr3:uid="{00000000-0010-0000-0300-000003000000}" name="제출시각"/>
    <tableColumn id="4" xr3:uid="{00000000-0010-0000-0300-000004000000}" name="입력 학번"/>
    <tableColumn id="5" xr3:uid="{00000000-0010-0000-0300-000005000000}" name="매칭 학번"/>
    <tableColumn id="6" xr3:uid="{00000000-0010-0000-0300-000006000000}" name="이름/추정명"/>
    <tableColumn id="7" xr3:uid="{00000000-0010-0000-0300-000007000000}" name="점수"/>
    <tableColumn id="8" xr3:uid="{00000000-0010-0000-0300-000008000000}" name="처리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nmatchedResponseTable" displayName="UnmatchedResponseTable" ref="A1:H8">
  <tableColumns count="8">
    <tableColumn id="1" xr3:uid="{00000000-0010-0000-0400-000001000000}" name="주차"/>
    <tableColumn id="2" xr3:uid="{00000000-0010-0000-0400-000002000000}" name="원자료 행"/>
    <tableColumn id="3" xr3:uid="{00000000-0010-0000-0400-000003000000}" name="제출시각"/>
    <tableColumn id="4" xr3:uid="{00000000-0010-0000-0400-000004000000}" name="입력 학번"/>
    <tableColumn id="5" xr3:uid="{00000000-0010-0000-0400-000005000000}" name="추정/정규화 학번"/>
    <tableColumn id="6" xr3:uid="{00000000-0010-0000-0400-000006000000}" name="이름/추정명"/>
    <tableColumn id="7" xr3:uid="{00000000-0010-0000-0400-000007000000}" name="점수"/>
    <tableColumn id="8" xr3:uid="{00000000-0010-0000-0400-000008000000}" name="사유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rrectedMatchTable" displayName="CorrectedMatchTable" ref="A1:H3">
  <tableColumns count="8">
    <tableColumn id="1" xr3:uid="{00000000-0010-0000-0500-000001000000}" name="주차"/>
    <tableColumn id="2" xr3:uid="{00000000-0010-0000-0500-000002000000}" name="원자료 행"/>
    <tableColumn id="3" xr3:uid="{00000000-0010-0000-0500-000003000000}" name="제출시각"/>
    <tableColumn id="4" xr3:uid="{00000000-0010-0000-0500-000004000000}" name="입력 학번/값"/>
    <tableColumn id="5" xr3:uid="{00000000-0010-0000-0500-000005000000}" name="보정 반영 학번"/>
    <tableColumn id="6" xr3:uid="{00000000-0010-0000-0500-000006000000}" name="이름/추정명"/>
    <tableColumn id="7" xr3:uid="{00000000-0010-0000-0500-000007000000}" name="점수"/>
    <tableColumn id="8" xr3:uid="{00000000-0010-0000-0500-000008000000}" name="보정 방식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ttendanceRaw" displayName="AttendanceRaw" ref="A1:E109">
  <tableColumns count="5">
    <tableColumn id="1" xr3:uid="{00000000-0010-0000-0600-000001000000}" name="분반"/>
    <tableColumn id="2" xr3:uid="{00000000-0010-0000-0600-000002000000}" name="학번"/>
    <tableColumn id="3" xr3:uid="{00000000-0010-0000-0600-000003000000}" name="이름"/>
    <tableColumn id="4" xr3:uid="{00000000-0010-0000-0600-000004000000}" name="결석차시"/>
    <tableColumn id="5" xr3:uid="{00000000-0010-0000-0600-000005000000}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idtermRaw" displayName="MidtermRaw" ref="A1:C109">
  <tableColumns count="3">
    <tableColumn id="1" xr3:uid="{00000000-0010-0000-0700-000001000000}" name="이름"/>
    <tableColumn id="2" xr3:uid="{00000000-0010-0000-0700-000002000000}" name="학번"/>
    <tableColumn id="3" xr3:uid="{00000000-0010-0000-0700-000003000000}" name="중간고사(20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inalGrades" displayName="FinalGrades" ref="A1:N109">
  <tableColumns count="14">
    <tableColumn id="1" xr3:uid="{00000000-0010-0000-0800-000001000000}" name="분반"/>
    <tableColumn id="2" xr3:uid="{00000000-0010-0000-0800-000002000000}" name="학번"/>
    <tableColumn id="3" xr3:uid="{00000000-0010-0000-0800-000003000000}" name="이름"/>
    <tableColumn id="4" xr3:uid="{00000000-0010-0000-0800-000004000000}" name="퀴즈점수(30)"/>
    <tableColumn id="5" xr3:uid="{00000000-0010-0000-0800-000005000000}" name="결석차시"/>
    <tableColumn id="6" xr3:uid="{00000000-0010-0000-0800-000006000000}" name="출석점수(30)"/>
    <tableColumn id="7" xr3:uid="{00000000-0010-0000-0800-000007000000}" name="중간고사(20)"/>
    <tableColumn id="8" xr3:uid="{00000000-0010-0000-0800-000008000000}" name="총점(80)"/>
    <tableColumn id="9" xr3:uid="{00000000-0010-0000-0800-000009000000}" name="총점석차(분반)"/>
    <tableColumn id="10" xr3:uid="{00000000-0010-0000-0800-00000A000000}" name="강제F사유"/>
    <tableColumn id="11" xr3:uid="{00000000-0010-0000-0800-00000B000000}" name="평점"/>
    <tableColumn id="12" xr3:uid="{00000000-0010-0000-0800-00000C000000}" name="전화번호"/>
    <tableColumn id="13" xr3:uid="{00000000-0010-0000-0800-00000D000000}" name="이메일"/>
    <tableColumn id="14" xr3:uid="{00000000-0010-0000-0800-00000E000000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09"/>
  <sheetViews>
    <sheetView tabSelected="1" workbookViewId="0"/>
  </sheetViews>
  <sheetFormatPr defaultRowHeight="16.5" x14ac:dyDescent="0.3"/>
  <cols>
    <col min="1" max="1" width="16.875" style="1" customWidth="1"/>
    <col min="2" max="2" width="4.625" style="1" customWidth="1"/>
    <col min="3" max="3" width="8.625" style="1" customWidth="1"/>
    <col min="4" max="4" width="14.5" style="1" hidden="1" customWidth="1"/>
    <col min="5" max="5" width="12.75" style="1" hidden="1" customWidth="1"/>
    <col min="6" max="6" width="27.625" style="1" customWidth="1"/>
    <col min="7" max="7" width="18" style="2" hidden="1" customWidth="1"/>
    <col min="8" max="16" width="18" hidden="1" customWidth="1"/>
    <col min="17" max="17" width="14" customWidth="1"/>
    <col min="18" max="26" width="18" hidden="1" customWidth="1"/>
    <col min="27" max="27" width="3.25" hidden="1" customWidth="1"/>
    <col min="28" max="28" width="14" customWidth="1"/>
    <col min="29" max="38" width="18" hidden="1" customWidth="1"/>
    <col min="39" max="39" width="14" customWidth="1"/>
    <col min="40" max="49" width="18" hidden="1" customWidth="1"/>
    <col min="50" max="50" width="14" customWidth="1"/>
    <col min="51" max="60" width="18" hidden="1" customWidth="1"/>
    <col min="61" max="62" width="14" customWidth="1"/>
    <col min="63" max="63" width="14" hidden="1" customWidth="1"/>
    <col min="64" max="68" width="12.125" customWidth="1"/>
    <col min="69" max="69" width="9.75" hidden="1" customWidth="1"/>
    <col min="70" max="70" width="5" style="24" hidden="1" customWidth="1"/>
    <col min="71" max="71" width="6.75" customWidth="1"/>
    <col min="72" max="72" width="8.625" bestFit="1" customWidth="1"/>
  </cols>
  <sheetData>
    <row r="1" spans="1:72" ht="14.85" customHeigh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9" t="s">
        <v>57</v>
      </c>
      <c r="BG1" s="19" t="s">
        <v>58</v>
      </c>
      <c r="BH1" s="19" t="s">
        <v>59</v>
      </c>
      <c r="BI1" s="19" t="s">
        <v>60</v>
      </c>
      <c r="BJ1" s="19" t="s">
        <v>61</v>
      </c>
      <c r="BK1" s="20" t="s">
        <v>62</v>
      </c>
      <c r="BL1" s="26" t="s">
        <v>63</v>
      </c>
      <c r="BM1" s="26" t="s">
        <v>647</v>
      </c>
      <c r="BN1" s="26" t="s">
        <v>648</v>
      </c>
      <c r="BO1" s="26" t="s">
        <v>905</v>
      </c>
      <c r="BP1" s="26" t="s">
        <v>906</v>
      </c>
      <c r="BQ1" s="26" t="s">
        <v>907</v>
      </c>
      <c r="BR1" s="26" t="s">
        <v>652</v>
      </c>
      <c r="BS1" s="26" t="s">
        <v>902</v>
      </c>
      <c r="BT1" s="26" t="s">
        <v>903</v>
      </c>
    </row>
    <row r="2" spans="1:72" x14ac:dyDescent="0.3">
      <c r="A2" s="30" t="s">
        <v>137</v>
      </c>
      <c r="B2" s="8">
        <v>1</v>
      </c>
      <c r="C2" s="8">
        <v>20220034</v>
      </c>
      <c r="D2" s="9" t="s">
        <v>138</v>
      </c>
      <c r="E2" s="8" t="s">
        <v>139</v>
      </c>
      <c r="F2" s="9" t="s">
        <v>140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0" t="s">
        <v>78</v>
      </c>
      <c r="S2" s="10" t="s">
        <v>79</v>
      </c>
      <c r="T2" s="10" t="s">
        <v>80</v>
      </c>
      <c r="U2" s="10" t="s">
        <v>81</v>
      </c>
      <c r="V2" s="10" t="s">
        <v>82</v>
      </c>
      <c r="W2" s="10" t="s">
        <v>83</v>
      </c>
      <c r="X2" s="10" t="s">
        <v>84</v>
      </c>
      <c r="Y2" s="10" t="s">
        <v>85</v>
      </c>
      <c r="Z2" s="10" t="s">
        <v>86</v>
      </c>
      <c r="AA2" s="10" t="s">
        <v>86</v>
      </c>
      <c r="AB2" s="11">
        <f>10*SUMPRODUCT(--(R2:AA2&lt;&gt;""),--(((R2:AA2=정답표!$C$4:$L$4)+(R2:AA2=정답표!$C$5:$L$5))&gt;0))</f>
        <v>100</v>
      </c>
      <c r="AC2" s="10" t="s">
        <v>87</v>
      </c>
      <c r="AD2" s="10" t="s">
        <v>88</v>
      </c>
      <c r="AE2" s="10" t="s">
        <v>89</v>
      </c>
      <c r="AF2" s="10" t="s">
        <v>90</v>
      </c>
      <c r="AG2" s="10" t="s">
        <v>91</v>
      </c>
      <c r="AH2" s="10" t="s">
        <v>92</v>
      </c>
      <c r="AI2" s="10" t="s">
        <v>93</v>
      </c>
      <c r="AJ2" s="10" t="s">
        <v>94</v>
      </c>
      <c r="AK2" s="10" t="s">
        <v>86</v>
      </c>
      <c r="AL2" s="10" t="s">
        <v>86</v>
      </c>
      <c r="AM2" s="11">
        <f>10*SUMPRODUCT(--(AC2:AL2&lt;&gt;""),--(((AC2:AL2=정답표!$C$6:$L$6)+(AC2:AL2=정답표!$C$7:$L$7))&gt;0))</f>
        <v>100</v>
      </c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1"/>
      <c r="AY2" s="10" t="s">
        <v>95</v>
      </c>
      <c r="AZ2" s="10" t="s">
        <v>96</v>
      </c>
      <c r="BA2" s="10" t="s">
        <v>97</v>
      </c>
      <c r="BB2" s="10" t="s">
        <v>98</v>
      </c>
      <c r="BC2" s="10" t="s">
        <v>99</v>
      </c>
      <c r="BD2" s="10" t="s">
        <v>100</v>
      </c>
      <c r="BE2" s="10" t="s">
        <v>101</v>
      </c>
      <c r="BF2" s="10" t="s">
        <v>86</v>
      </c>
      <c r="BG2" s="10" t="s">
        <v>86</v>
      </c>
      <c r="BH2" s="10" t="s">
        <v>102</v>
      </c>
      <c r="BI2" s="11">
        <f>10*SUMPRODUCT(--(AY2:BH2&lt;&gt;""),--(((AY2:BH2=정답표!$C$10:$L$10)+(AY2:BH2=정답표!$C$11:$L$11))&gt;0))</f>
        <v>100</v>
      </c>
      <c r="BJ2" s="11">
        <f t="shared" ref="BJ2:BJ7" si="0">SUM(Q2,AB2,AM2,AX2,BI2)</f>
        <v>300</v>
      </c>
      <c r="BK2" s="12">
        <f t="shared" ref="BK2:BK7" si="1">COUNT(Q2,AB2,AM2,AX2,BI2)</f>
        <v>3</v>
      </c>
      <c r="BL2" s="27">
        <f>IF(QuizMatchTable[[#This Row],[분반]]=1, QuizMatchTable[[#This Row],[퀴즈합계]]/4 *0.3, QuizMatchTable[[#This Row],[퀴즈합계]]/5*0.3)</f>
        <v>22.5</v>
      </c>
      <c r="BM2" s="27">
        <v>28</v>
      </c>
      <c r="BN2" s="27">
        <v>19.2</v>
      </c>
      <c r="BO2" s="21"/>
      <c r="BP2" s="27">
        <f>SUM(QuizMatchTable[[#This Row],[퀴즈점수(30)]],BM2,BN2,BO2)</f>
        <v>69.7</v>
      </c>
      <c r="BQ2" s="21">
        <f t="shared" ref="BQ2:BQ33" si="2">IF(OR(BP2="",BP2=0,BT2="결석초과"),"",COUNTIFS($B$2:$B$109,B2,$BP$2:$BP$109,"&gt;"&amp;BP2)+1)</f>
        <v>5</v>
      </c>
      <c r="BR2" s="32" t="s">
        <v>654</v>
      </c>
      <c r="BS2" s="21">
        <v>3</v>
      </c>
      <c r="BT2" s="21"/>
    </row>
    <row r="3" spans="1:72" x14ac:dyDescent="0.3">
      <c r="A3" s="30" t="s">
        <v>137</v>
      </c>
      <c r="B3" s="8">
        <v>1</v>
      </c>
      <c r="C3" s="8">
        <v>20220036</v>
      </c>
      <c r="D3" s="9" t="s">
        <v>189</v>
      </c>
      <c r="E3" s="8" t="s">
        <v>190</v>
      </c>
      <c r="F3" s="9" t="s">
        <v>191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10" t="s">
        <v>78</v>
      </c>
      <c r="S3" s="10" t="s">
        <v>79</v>
      </c>
      <c r="T3" s="10" t="s">
        <v>80</v>
      </c>
      <c r="U3" s="10" t="s">
        <v>81</v>
      </c>
      <c r="V3" s="10" t="s">
        <v>82</v>
      </c>
      <c r="W3" s="10" t="s">
        <v>83</v>
      </c>
      <c r="X3" s="10" t="s">
        <v>84</v>
      </c>
      <c r="Y3" s="10" t="s">
        <v>85</v>
      </c>
      <c r="Z3" s="10" t="s">
        <v>86</v>
      </c>
      <c r="AA3" s="10" t="s">
        <v>86</v>
      </c>
      <c r="AB3" s="11">
        <f>10*SUMPRODUCT(--(R3:AA3&lt;&gt;""),--(((R3:AA3=정답표!$C$4:$L$4)+(R3:AA3=정답표!$C$5:$L$5))&gt;0))</f>
        <v>100</v>
      </c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1"/>
      <c r="AY3" s="10" t="s">
        <v>95</v>
      </c>
      <c r="AZ3" s="10" t="s">
        <v>96</v>
      </c>
      <c r="BA3" s="10" t="s">
        <v>97</v>
      </c>
      <c r="BB3" s="10" t="s">
        <v>98</v>
      </c>
      <c r="BC3" s="10" t="s">
        <v>99</v>
      </c>
      <c r="BD3" s="10" t="s">
        <v>100</v>
      </c>
      <c r="BE3" s="10" t="s">
        <v>101</v>
      </c>
      <c r="BF3" s="10" t="s">
        <v>86</v>
      </c>
      <c r="BG3" s="10" t="s">
        <v>86</v>
      </c>
      <c r="BH3" s="10" t="s">
        <v>102</v>
      </c>
      <c r="BI3" s="11">
        <f>10*SUMPRODUCT(--(AY3:BH3&lt;&gt;""),--(((AY3:BH3=정답표!$C$10:$L$10)+(AY3:BH3=정답표!$C$11:$L$11))&gt;0))</f>
        <v>100</v>
      </c>
      <c r="BJ3" s="11">
        <f t="shared" si="0"/>
        <v>200</v>
      </c>
      <c r="BK3" s="12">
        <f t="shared" si="1"/>
        <v>2</v>
      </c>
      <c r="BL3" s="28">
        <f>IF(QuizMatchTable[[#This Row],[분반]]=1, QuizMatchTable[[#This Row],[퀴즈합계]]/4 *0.3, QuizMatchTable[[#This Row],[퀴즈합계]]/5*0.3)</f>
        <v>15</v>
      </c>
      <c r="BM3" s="28">
        <v>26</v>
      </c>
      <c r="BN3" s="28">
        <v>19.2</v>
      </c>
      <c r="BO3" s="13"/>
      <c r="BP3" s="28">
        <f>SUM(QuizMatchTable[[#This Row],[퀴즈점수(30)]],BM3,BN3,BO3)</f>
        <v>60.2</v>
      </c>
      <c r="BQ3" s="13">
        <f t="shared" si="2"/>
        <v>14</v>
      </c>
      <c r="BR3" s="33" t="s">
        <v>656</v>
      </c>
      <c r="BS3" s="13">
        <v>6</v>
      </c>
      <c r="BT3" s="13"/>
    </row>
    <row r="4" spans="1:72" x14ac:dyDescent="0.3">
      <c r="A4" s="30" t="s">
        <v>64</v>
      </c>
      <c r="B4" s="8">
        <v>1</v>
      </c>
      <c r="C4" s="8">
        <v>20230421</v>
      </c>
      <c r="D4" s="9" t="s">
        <v>150</v>
      </c>
      <c r="E4" s="8" t="s">
        <v>151</v>
      </c>
      <c r="F4" s="9" t="s">
        <v>152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0" t="s">
        <v>78</v>
      </c>
      <c r="S4" s="10" t="s">
        <v>79</v>
      </c>
      <c r="T4" s="10" t="s">
        <v>153</v>
      </c>
      <c r="U4" s="10" t="s">
        <v>81</v>
      </c>
      <c r="V4" s="10" t="s">
        <v>82</v>
      </c>
      <c r="W4" s="10" t="s">
        <v>83</v>
      </c>
      <c r="X4" s="10" t="s">
        <v>84</v>
      </c>
      <c r="Y4" s="10" t="s">
        <v>85</v>
      </c>
      <c r="Z4" s="10" t="s">
        <v>86</v>
      </c>
      <c r="AA4" s="10" t="s">
        <v>86</v>
      </c>
      <c r="AB4" s="11">
        <f>10*SUMPRODUCT(--(R4:AA4&lt;&gt;""),--(((R4:AA4=정답표!$C$4:$L$4)+(R4:AA4=정답표!$C$5:$L$5))&gt;0))</f>
        <v>90</v>
      </c>
      <c r="AC4" s="10" t="s">
        <v>87</v>
      </c>
      <c r="AD4" s="10" t="s">
        <v>88</v>
      </c>
      <c r="AE4" s="10" t="s">
        <v>89</v>
      </c>
      <c r="AF4" s="10" t="s">
        <v>90</v>
      </c>
      <c r="AG4" s="10" t="s">
        <v>91</v>
      </c>
      <c r="AH4" s="10" t="s">
        <v>92</v>
      </c>
      <c r="AI4" s="10" t="s">
        <v>93</v>
      </c>
      <c r="AJ4" s="10" t="s">
        <v>94</v>
      </c>
      <c r="AK4" s="10" t="s">
        <v>86</v>
      </c>
      <c r="AL4" s="10" t="s">
        <v>86</v>
      </c>
      <c r="AM4" s="11">
        <f>10*SUMPRODUCT(--(AC4:AL4&lt;&gt;""),--(((AC4:AL4=정답표!$C$6:$L$6)+(AC4:AL4=정답표!$C$7:$L$7))&gt;0))</f>
        <v>100</v>
      </c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1"/>
      <c r="AY4" s="10" t="s">
        <v>95</v>
      </c>
      <c r="AZ4" s="10" t="s">
        <v>96</v>
      </c>
      <c r="BA4" s="10" t="s">
        <v>97</v>
      </c>
      <c r="BB4" s="10" t="s">
        <v>98</v>
      </c>
      <c r="BC4" s="10" t="s">
        <v>99</v>
      </c>
      <c r="BD4" s="10" t="s">
        <v>100</v>
      </c>
      <c r="BE4" s="10" t="s">
        <v>101</v>
      </c>
      <c r="BF4" s="10" t="s">
        <v>86</v>
      </c>
      <c r="BG4" s="10" t="s">
        <v>86</v>
      </c>
      <c r="BH4" s="10" t="s">
        <v>102</v>
      </c>
      <c r="BI4" s="11">
        <f>10*SUMPRODUCT(--(AY4:BH4&lt;&gt;""),--(((AY4:BH4=정답표!$C$10:$L$10)+(AY4:BH4=정답표!$C$11:$L$11))&gt;0))</f>
        <v>100</v>
      </c>
      <c r="BJ4" s="11">
        <f t="shared" si="0"/>
        <v>290</v>
      </c>
      <c r="BK4" s="12">
        <f t="shared" si="1"/>
        <v>3</v>
      </c>
      <c r="BL4" s="28">
        <f>IF(QuizMatchTable[[#This Row],[분반]]=1, QuizMatchTable[[#This Row],[퀴즈합계]]/4 *0.3, QuizMatchTable[[#This Row],[퀴즈합계]]/5*0.3)</f>
        <v>21.75</v>
      </c>
      <c r="BM4" s="28">
        <v>28</v>
      </c>
      <c r="BN4" s="28">
        <v>18.8</v>
      </c>
      <c r="BO4" s="13"/>
      <c r="BP4" s="28">
        <f>SUM(QuizMatchTable[[#This Row],[퀴즈점수(30)]],BM4,BN4,BO4)</f>
        <v>68.55</v>
      </c>
      <c r="BQ4" s="13">
        <f t="shared" si="2"/>
        <v>6</v>
      </c>
      <c r="BR4" s="33" t="s">
        <v>654</v>
      </c>
      <c r="BS4" s="13">
        <v>3</v>
      </c>
      <c r="BT4" s="13"/>
    </row>
    <row r="5" spans="1:72" x14ac:dyDescent="0.3">
      <c r="A5" s="30" t="s">
        <v>64</v>
      </c>
      <c r="B5" s="8">
        <v>1</v>
      </c>
      <c r="C5" s="8">
        <v>20230422</v>
      </c>
      <c r="D5" s="9" t="s">
        <v>128</v>
      </c>
      <c r="E5" s="8" t="s">
        <v>129</v>
      </c>
      <c r="F5" s="9" t="s">
        <v>130</v>
      </c>
      <c r="G5" s="10" t="s">
        <v>68</v>
      </c>
      <c r="H5" s="10" t="s">
        <v>69</v>
      </c>
      <c r="I5" s="10" t="s">
        <v>70</v>
      </c>
      <c r="J5" s="10" t="s">
        <v>71</v>
      </c>
      <c r="K5" s="10" t="s">
        <v>72</v>
      </c>
      <c r="L5" s="10" t="s">
        <v>73</v>
      </c>
      <c r="M5" s="10" t="s">
        <v>74</v>
      </c>
      <c r="N5" s="10" t="s">
        <v>75</v>
      </c>
      <c r="O5" s="10" t="s">
        <v>76</v>
      </c>
      <c r="P5" s="10" t="s">
        <v>77</v>
      </c>
      <c r="Q5" s="11">
        <f>10*SUMPRODUCT(--(G5:P5&lt;&gt;""),--(((G5:P5=정답표!$C$2:$L$2)+(G5:P5=정답표!$C$3:$L$3))&gt;0))</f>
        <v>100</v>
      </c>
      <c r="R5" s="10" t="s">
        <v>78</v>
      </c>
      <c r="S5" s="10" t="s">
        <v>106</v>
      </c>
      <c r="T5" s="10" t="s">
        <v>107</v>
      </c>
      <c r="U5" s="10" t="s">
        <v>108</v>
      </c>
      <c r="V5" s="10" t="s">
        <v>109</v>
      </c>
      <c r="W5" s="10" t="s">
        <v>110</v>
      </c>
      <c r="X5" s="10" t="s">
        <v>111</v>
      </c>
      <c r="Y5" s="10" t="s">
        <v>112</v>
      </c>
      <c r="Z5" s="10" t="s">
        <v>86</v>
      </c>
      <c r="AA5" s="10" t="s">
        <v>86</v>
      </c>
      <c r="AB5" s="11">
        <f>10*SUMPRODUCT(--(R5:AA5&lt;&gt;""),--(((R5:AA5=정답표!$C$4:$L$4)+(R5:AA5=정답표!$C$5:$L$5))&gt;0))</f>
        <v>100</v>
      </c>
      <c r="AC5" s="10" t="s">
        <v>113</v>
      </c>
      <c r="AD5" s="10" t="s">
        <v>114</v>
      </c>
      <c r="AE5" s="10" t="s">
        <v>115</v>
      </c>
      <c r="AF5" s="10" t="s">
        <v>116</v>
      </c>
      <c r="AG5" s="10" t="s">
        <v>117</v>
      </c>
      <c r="AH5" s="10" t="s">
        <v>118</v>
      </c>
      <c r="AI5" s="10" t="s">
        <v>119</v>
      </c>
      <c r="AJ5" s="10" t="s">
        <v>131</v>
      </c>
      <c r="AK5" s="10" t="s">
        <v>86</v>
      </c>
      <c r="AL5" s="10" t="s">
        <v>86</v>
      </c>
      <c r="AM5" s="11">
        <f>10*SUMPRODUCT(--(AC5:AL5&lt;&gt;""),--(((AC5:AL5=정답표!$C$6:$L$6)+(AC5:AL5=정답표!$C$7:$L$7))&gt;0))</f>
        <v>90</v>
      </c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1"/>
      <c r="AY5" s="10" t="s">
        <v>121</v>
      </c>
      <c r="AZ5" s="10" t="s">
        <v>122</v>
      </c>
      <c r="BA5" s="10" t="s">
        <v>123</v>
      </c>
      <c r="BB5" s="10" t="s">
        <v>124</v>
      </c>
      <c r="BC5" s="10" t="s">
        <v>125</v>
      </c>
      <c r="BD5" s="10" t="s">
        <v>126</v>
      </c>
      <c r="BE5" s="10" t="s">
        <v>127</v>
      </c>
      <c r="BF5" s="10" t="s">
        <v>86</v>
      </c>
      <c r="BG5" s="10" t="s">
        <v>86</v>
      </c>
      <c r="BH5" s="10" t="s">
        <v>102</v>
      </c>
      <c r="BI5" s="11">
        <f>10*SUMPRODUCT(--(AY5:BH5&lt;&gt;""),--(((AY5:BH5=정답표!$C$10:$L$10)+(AY5:BH5=정답표!$C$11:$L$11))&gt;0))</f>
        <v>100</v>
      </c>
      <c r="BJ5" s="11">
        <f t="shared" si="0"/>
        <v>390</v>
      </c>
      <c r="BK5" s="12">
        <f t="shared" si="1"/>
        <v>4</v>
      </c>
      <c r="BL5" s="28">
        <f>IF(QuizMatchTable[[#This Row],[분반]]=1, QuizMatchTable[[#This Row],[퀴즈합계]]/4 *0.3, QuizMatchTable[[#This Row],[퀴즈합계]]/5*0.3)</f>
        <v>29.25</v>
      </c>
      <c r="BM5" s="28">
        <v>30</v>
      </c>
      <c r="BN5" s="28">
        <v>13.2</v>
      </c>
      <c r="BO5" s="13"/>
      <c r="BP5" s="28">
        <f>SUM(QuizMatchTable[[#This Row],[퀴즈점수(30)]],BM5,BN5,BO5)</f>
        <v>72.45</v>
      </c>
      <c r="BQ5" s="13">
        <f t="shared" si="2"/>
        <v>4</v>
      </c>
      <c r="BR5" s="33" t="s">
        <v>653</v>
      </c>
      <c r="BS5" s="13">
        <v>0</v>
      </c>
      <c r="BT5" s="13"/>
    </row>
    <row r="6" spans="1:72" x14ac:dyDescent="0.3">
      <c r="A6" s="30" t="s">
        <v>64</v>
      </c>
      <c r="B6" s="8">
        <v>1</v>
      </c>
      <c r="C6" s="8">
        <v>20230474</v>
      </c>
      <c r="D6" s="9" t="s">
        <v>132</v>
      </c>
      <c r="E6" s="8" t="s">
        <v>133</v>
      </c>
      <c r="F6" s="9" t="s">
        <v>134</v>
      </c>
      <c r="G6" s="10" t="s">
        <v>68</v>
      </c>
      <c r="H6" s="10" t="s">
        <v>69</v>
      </c>
      <c r="I6" s="10" t="s">
        <v>70</v>
      </c>
      <c r="J6" s="10" t="s">
        <v>71</v>
      </c>
      <c r="K6" s="10" t="s">
        <v>72</v>
      </c>
      <c r="L6" s="10" t="s">
        <v>73</v>
      </c>
      <c r="M6" s="10" t="s">
        <v>135</v>
      </c>
      <c r="N6" s="10" t="s">
        <v>75</v>
      </c>
      <c r="O6" s="10" t="s">
        <v>76</v>
      </c>
      <c r="P6" s="10" t="s">
        <v>77</v>
      </c>
      <c r="Q6" s="11">
        <f>10*SUMPRODUCT(--(G6:P6&lt;&gt;""),--(((G6:P6=정답표!$C$2:$L$2)+(G6:P6=정답표!$C$3:$L$3))&gt;0))</f>
        <v>90</v>
      </c>
      <c r="R6" s="10" t="s">
        <v>78</v>
      </c>
      <c r="S6" s="10" t="s">
        <v>79</v>
      </c>
      <c r="T6" s="10" t="s">
        <v>80</v>
      </c>
      <c r="U6" s="10" t="s">
        <v>81</v>
      </c>
      <c r="V6" s="10" t="s">
        <v>82</v>
      </c>
      <c r="W6" s="10" t="s">
        <v>83</v>
      </c>
      <c r="X6" s="10" t="s">
        <v>84</v>
      </c>
      <c r="Y6" s="10" t="s">
        <v>136</v>
      </c>
      <c r="Z6" s="10" t="s">
        <v>86</v>
      </c>
      <c r="AA6" s="10" t="s">
        <v>86</v>
      </c>
      <c r="AB6" s="11">
        <f>10*SUMPRODUCT(--(R6:AA6&lt;&gt;""),--(((R6:AA6=정답표!$C$4:$L$4)+(R6:AA6=정답표!$C$5:$L$5))&gt;0))</f>
        <v>90</v>
      </c>
      <c r="AC6" s="10" t="s">
        <v>87</v>
      </c>
      <c r="AD6" s="10" t="s">
        <v>88</v>
      </c>
      <c r="AE6" s="10" t="s">
        <v>89</v>
      </c>
      <c r="AF6" s="10" t="s">
        <v>90</v>
      </c>
      <c r="AG6" s="10" t="s">
        <v>91</v>
      </c>
      <c r="AH6" s="10" t="s">
        <v>92</v>
      </c>
      <c r="AI6" s="10" t="s">
        <v>93</v>
      </c>
      <c r="AJ6" s="10" t="s">
        <v>94</v>
      </c>
      <c r="AK6" s="10" t="s">
        <v>86</v>
      </c>
      <c r="AL6" s="10" t="s">
        <v>102</v>
      </c>
      <c r="AM6" s="11">
        <f>10*SUMPRODUCT(--(AC6:AL6&lt;&gt;""),--(((AC6:AL6=정답표!$C$6:$L$6)+(AC6:AL6=정답표!$C$7:$L$7))&gt;0))</f>
        <v>90</v>
      </c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1"/>
      <c r="AY6" s="10" t="s">
        <v>95</v>
      </c>
      <c r="AZ6" s="10" t="s">
        <v>96</v>
      </c>
      <c r="BA6" s="10" t="s">
        <v>97</v>
      </c>
      <c r="BB6" s="10" t="s">
        <v>98</v>
      </c>
      <c r="BC6" s="10" t="s">
        <v>99</v>
      </c>
      <c r="BD6" s="10" t="s">
        <v>100</v>
      </c>
      <c r="BE6" s="10" t="s">
        <v>101</v>
      </c>
      <c r="BF6" s="10" t="s">
        <v>86</v>
      </c>
      <c r="BG6" s="10" t="s">
        <v>86</v>
      </c>
      <c r="BH6" s="10" t="s">
        <v>102</v>
      </c>
      <c r="BI6" s="11">
        <f>10*SUMPRODUCT(--(AY6:BH6&lt;&gt;""),--(((AY6:BH6=정답표!$C$10:$L$10)+(AY6:BH6=정답표!$C$11:$L$11))&gt;0))</f>
        <v>100</v>
      </c>
      <c r="BJ6" s="11">
        <f t="shared" si="0"/>
        <v>370</v>
      </c>
      <c r="BK6" s="12">
        <f t="shared" si="1"/>
        <v>4</v>
      </c>
      <c r="BL6" s="28">
        <f>IF(QuizMatchTable[[#This Row],[분반]]=1, QuizMatchTable[[#This Row],[퀴즈합계]]/4 *0.3, QuizMatchTable[[#This Row],[퀴즈합계]]/5*0.3)</f>
        <v>27.75</v>
      </c>
      <c r="BM6" s="28">
        <v>30</v>
      </c>
      <c r="BN6" s="28">
        <v>16</v>
      </c>
      <c r="BO6" s="13"/>
      <c r="BP6" s="28">
        <f>SUM(QuizMatchTable[[#This Row],[퀴즈점수(30)]],BM6,BN6,BO6)</f>
        <v>73.75</v>
      </c>
      <c r="BQ6" s="13">
        <f t="shared" si="2"/>
        <v>3</v>
      </c>
      <c r="BR6" s="33" t="s">
        <v>653</v>
      </c>
      <c r="BS6" s="13">
        <v>0</v>
      </c>
      <c r="BT6" s="13"/>
    </row>
    <row r="7" spans="1:72" x14ac:dyDescent="0.3">
      <c r="A7" s="30" t="s">
        <v>64</v>
      </c>
      <c r="B7" s="8">
        <v>1</v>
      </c>
      <c r="C7" s="8">
        <v>20240033</v>
      </c>
      <c r="D7" s="9" t="s">
        <v>65</v>
      </c>
      <c r="E7" s="8" t="s">
        <v>66</v>
      </c>
      <c r="F7" s="9" t="s">
        <v>67</v>
      </c>
      <c r="G7" s="10" t="s">
        <v>68</v>
      </c>
      <c r="H7" s="10" t="s">
        <v>69</v>
      </c>
      <c r="I7" s="10" t="s">
        <v>70</v>
      </c>
      <c r="J7" s="10" t="s">
        <v>71</v>
      </c>
      <c r="K7" s="10" t="s">
        <v>72</v>
      </c>
      <c r="L7" s="10" t="s">
        <v>73</v>
      </c>
      <c r="M7" s="10" t="s">
        <v>74</v>
      </c>
      <c r="N7" s="10" t="s">
        <v>75</v>
      </c>
      <c r="O7" s="10" t="s">
        <v>76</v>
      </c>
      <c r="P7" s="10" t="s">
        <v>77</v>
      </c>
      <c r="Q7" s="11">
        <f>10*SUMPRODUCT(--(G7:P7&lt;&gt;""),--(((G7:P7=정답표!$C$2:$L$2)+(G7:P7=정답표!$C$3:$L$3))&gt;0))</f>
        <v>100</v>
      </c>
      <c r="R7" s="10" t="s">
        <v>78</v>
      </c>
      <c r="S7" s="10" t="s">
        <v>79</v>
      </c>
      <c r="T7" s="10" t="s">
        <v>80</v>
      </c>
      <c r="U7" s="10" t="s">
        <v>81</v>
      </c>
      <c r="V7" s="10" t="s">
        <v>82</v>
      </c>
      <c r="W7" s="10" t="s">
        <v>83</v>
      </c>
      <c r="X7" s="10" t="s">
        <v>84</v>
      </c>
      <c r="Y7" s="10" t="s">
        <v>85</v>
      </c>
      <c r="Z7" s="10" t="s">
        <v>86</v>
      </c>
      <c r="AA7" s="10" t="s">
        <v>86</v>
      </c>
      <c r="AB7" s="11">
        <f>10*SUMPRODUCT(--(R7:AA7&lt;&gt;""),--(((R7:AA7=정답표!$C$4:$L$4)+(R7:AA7=정답표!$C$5:$L$5))&gt;0))</f>
        <v>100</v>
      </c>
      <c r="AC7" s="10" t="s">
        <v>87</v>
      </c>
      <c r="AD7" s="10" t="s">
        <v>88</v>
      </c>
      <c r="AE7" s="10" t="s">
        <v>89</v>
      </c>
      <c r="AF7" s="10" t="s">
        <v>90</v>
      </c>
      <c r="AG7" s="10" t="s">
        <v>91</v>
      </c>
      <c r="AH7" s="10" t="s">
        <v>92</v>
      </c>
      <c r="AI7" s="10" t="s">
        <v>93</v>
      </c>
      <c r="AJ7" s="10" t="s">
        <v>94</v>
      </c>
      <c r="AK7" s="10" t="s">
        <v>86</v>
      </c>
      <c r="AL7" s="10" t="s">
        <v>86</v>
      </c>
      <c r="AM7" s="11">
        <f>10*SUMPRODUCT(--(AC7:AL7&lt;&gt;""),--(((AC7:AL7=정답표!$C$6:$L$6)+(AC7:AL7=정답표!$C$7:$L$7))&gt;0))</f>
        <v>100</v>
      </c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1"/>
      <c r="AY7" s="10" t="s">
        <v>95</v>
      </c>
      <c r="AZ7" s="10" t="s">
        <v>96</v>
      </c>
      <c r="BA7" s="10" t="s">
        <v>97</v>
      </c>
      <c r="BB7" s="10" t="s">
        <v>98</v>
      </c>
      <c r="BC7" s="10" t="s">
        <v>99</v>
      </c>
      <c r="BD7" s="10" t="s">
        <v>100</v>
      </c>
      <c r="BE7" s="10" t="s">
        <v>101</v>
      </c>
      <c r="BF7" s="10" t="s">
        <v>86</v>
      </c>
      <c r="BG7" s="10" t="s">
        <v>86</v>
      </c>
      <c r="BH7" s="10" t="s">
        <v>102</v>
      </c>
      <c r="BI7" s="11">
        <f>10*SUMPRODUCT(--(AY7:BH7&lt;&gt;""),--(((AY7:BH7=정답표!$C$10:$L$10)+(AY7:BH7=정답표!$C$11:$L$11))&gt;0))</f>
        <v>100</v>
      </c>
      <c r="BJ7" s="11">
        <f t="shared" si="0"/>
        <v>400</v>
      </c>
      <c r="BK7" s="12">
        <f t="shared" si="1"/>
        <v>4</v>
      </c>
      <c r="BL7" s="28">
        <f>IF(QuizMatchTable[[#This Row],[분반]]=1, QuizMatchTable[[#This Row],[퀴즈합계]]/4 *0.3, QuizMatchTable[[#This Row],[퀴즈합계]]/5*0.3)</f>
        <v>30</v>
      </c>
      <c r="BM7" s="28">
        <v>30</v>
      </c>
      <c r="BN7" s="28">
        <v>18.39</v>
      </c>
      <c r="BO7" s="13"/>
      <c r="BP7" s="28">
        <f>SUM(QuizMatchTable[[#This Row],[퀴즈점수(30)]],BM7,BN7,BO7)</f>
        <v>78.39</v>
      </c>
      <c r="BQ7" s="13">
        <f t="shared" si="2"/>
        <v>1</v>
      </c>
      <c r="BR7" s="33" t="s">
        <v>653</v>
      </c>
      <c r="BS7" s="13">
        <v>0</v>
      </c>
      <c r="BT7" s="13"/>
    </row>
    <row r="8" spans="1:72" x14ac:dyDescent="0.3">
      <c r="A8" s="30" t="s">
        <v>64</v>
      </c>
      <c r="B8" s="8">
        <v>1</v>
      </c>
      <c r="C8" s="8">
        <v>20240665</v>
      </c>
      <c r="D8" s="9" t="s">
        <v>232</v>
      </c>
      <c r="E8" s="8" t="s">
        <v>233</v>
      </c>
      <c r="F8" s="9" t="s">
        <v>234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1"/>
      <c r="R8" s="10"/>
      <c r="S8" s="10"/>
      <c r="T8" s="10"/>
      <c r="U8" s="10"/>
      <c r="V8" s="10"/>
      <c r="W8" s="10"/>
      <c r="X8" s="10"/>
      <c r="Y8" s="10"/>
      <c r="Z8" s="10"/>
      <c r="AA8" s="10"/>
      <c r="AB8" s="11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1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1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1"/>
      <c r="BJ8" s="11"/>
      <c r="BK8" s="12"/>
      <c r="BL8" s="28">
        <f>IF(QuizMatchTable[[#This Row],[분반]]=1, QuizMatchTable[[#This Row],[퀴즈합계]]/4 *0.3, QuizMatchTable[[#This Row],[퀴즈합계]]/5*0.3)</f>
        <v>0</v>
      </c>
      <c r="BM8" s="28">
        <v>22</v>
      </c>
      <c r="BN8" s="28">
        <v>18</v>
      </c>
      <c r="BO8" s="13"/>
      <c r="BP8" s="28">
        <f>SUM(QuizMatchTable[[#This Row],[퀴즈점수(30)]],BM8,BN8,BO8)</f>
        <v>40</v>
      </c>
      <c r="BQ8" s="13">
        <f t="shared" si="2"/>
        <v>19</v>
      </c>
      <c r="BR8" s="33" t="s">
        <v>657</v>
      </c>
      <c r="BS8" s="13">
        <v>12</v>
      </c>
      <c r="BT8" s="13"/>
    </row>
    <row r="9" spans="1:72" x14ac:dyDescent="0.3">
      <c r="A9" s="30" t="s">
        <v>64</v>
      </c>
      <c r="B9" s="8">
        <v>1</v>
      </c>
      <c r="C9" s="8">
        <v>20240666</v>
      </c>
      <c r="D9" s="9" t="s">
        <v>235</v>
      </c>
      <c r="E9" s="8" t="s">
        <v>236</v>
      </c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10"/>
      <c r="V9" s="10"/>
      <c r="W9" s="10"/>
      <c r="X9" s="10"/>
      <c r="Y9" s="10"/>
      <c r="Z9" s="10"/>
      <c r="AA9" s="10"/>
      <c r="AB9" s="11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1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1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1"/>
      <c r="BJ9" s="11"/>
      <c r="BK9" s="12"/>
      <c r="BL9" s="28">
        <f>IF(QuizMatchTable[[#This Row],[분반]]=1, QuizMatchTable[[#This Row],[퀴즈합계]]/4 *0.3, QuizMatchTable[[#This Row],[퀴즈합계]]/5*0.3)</f>
        <v>0</v>
      </c>
      <c r="BM9" s="28">
        <v>0</v>
      </c>
      <c r="BN9" s="28">
        <v>0</v>
      </c>
      <c r="BO9" s="13"/>
      <c r="BP9" s="28">
        <f>SUM(QuizMatchTable[[#This Row],[퀴즈점수(30)]],BM9,BN9,BO9)</f>
        <v>0</v>
      </c>
      <c r="BQ9" s="13" t="str">
        <f t="shared" si="2"/>
        <v/>
      </c>
      <c r="BR9" s="33" t="s">
        <v>657</v>
      </c>
      <c r="BS9" s="13">
        <v>36</v>
      </c>
      <c r="BT9" s="13" t="s">
        <v>904</v>
      </c>
    </row>
    <row r="10" spans="1:72" x14ac:dyDescent="0.3">
      <c r="A10" s="30" t="s">
        <v>64</v>
      </c>
      <c r="B10" s="8">
        <v>1</v>
      </c>
      <c r="C10" s="8">
        <v>20240667</v>
      </c>
      <c r="D10" s="9" t="s">
        <v>171</v>
      </c>
      <c r="E10" s="8" t="s">
        <v>172</v>
      </c>
      <c r="F10" s="9" t="s">
        <v>173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1"/>
      <c r="R10" s="10" t="s">
        <v>78</v>
      </c>
      <c r="S10" s="10" t="s">
        <v>174</v>
      </c>
      <c r="T10" s="10" t="s">
        <v>175</v>
      </c>
      <c r="U10" s="10" t="s">
        <v>176</v>
      </c>
      <c r="V10" s="10" t="s">
        <v>109</v>
      </c>
      <c r="W10" s="10" t="s">
        <v>110</v>
      </c>
      <c r="X10" s="10" t="s">
        <v>111</v>
      </c>
      <c r="Y10" s="10" t="s">
        <v>177</v>
      </c>
      <c r="Z10" s="10" t="s">
        <v>86</v>
      </c>
      <c r="AA10" s="10" t="s">
        <v>86</v>
      </c>
      <c r="AB10" s="11">
        <f>10*SUMPRODUCT(--(R10:AA10&lt;&gt;""),--(((R10:AA10=정답표!$C$4:$L$4)+(R10:AA10=정답표!$C$5:$L$5))&gt;0))</f>
        <v>60</v>
      </c>
      <c r="AC10" s="10" t="s">
        <v>113</v>
      </c>
      <c r="AD10" s="10" t="s">
        <v>178</v>
      </c>
      <c r="AE10" s="10" t="s">
        <v>167</v>
      </c>
      <c r="AF10" s="10" t="s">
        <v>116</v>
      </c>
      <c r="AG10" s="10" t="s">
        <v>117</v>
      </c>
      <c r="AH10" s="10" t="s">
        <v>169</v>
      </c>
      <c r="AI10" s="10" t="s">
        <v>119</v>
      </c>
      <c r="AJ10" s="10" t="s">
        <v>120</v>
      </c>
      <c r="AK10" s="10" t="s">
        <v>86</v>
      </c>
      <c r="AL10" s="10" t="s">
        <v>86</v>
      </c>
      <c r="AM10" s="11">
        <f>10*SUMPRODUCT(--(AC10:AL10&lt;&gt;""),--(((AC10:AL10=정답표!$C$6:$L$6)+(AC10:AL10=정답표!$C$7:$L$7))&gt;0))</f>
        <v>70</v>
      </c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1"/>
      <c r="AY10" s="10" t="s">
        <v>121</v>
      </c>
      <c r="AZ10" s="10" t="s">
        <v>122</v>
      </c>
      <c r="BA10" s="10" t="s">
        <v>123</v>
      </c>
      <c r="BB10" s="10" t="s">
        <v>124</v>
      </c>
      <c r="BC10" s="10" t="s">
        <v>125</v>
      </c>
      <c r="BD10" s="10" t="s">
        <v>126</v>
      </c>
      <c r="BE10" s="10" t="s">
        <v>179</v>
      </c>
      <c r="BF10" s="10" t="s">
        <v>86</v>
      </c>
      <c r="BG10" s="10" t="s">
        <v>86</v>
      </c>
      <c r="BH10" s="10" t="s">
        <v>102</v>
      </c>
      <c r="BI10" s="11">
        <f>10*SUMPRODUCT(--(AY10:BH10&lt;&gt;""),--(((AY10:BH10=정답표!$C$10:$L$10)+(AY10:BH10=정답표!$C$11:$L$11))&gt;0))</f>
        <v>90</v>
      </c>
      <c r="BJ10" s="11">
        <f t="shared" ref="BJ10:BJ19" si="3">SUM(Q10,AB10,AM10,AX10,BI10)</f>
        <v>220</v>
      </c>
      <c r="BK10" s="12">
        <f t="shared" ref="BK10:BK19" si="4">COUNT(Q10,AB10,AM10,AX10,BI10)</f>
        <v>3</v>
      </c>
      <c r="BL10" s="28">
        <f>IF(QuizMatchTable[[#This Row],[분반]]=1, QuizMatchTable[[#This Row],[퀴즈합계]]/4 *0.3, QuizMatchTable[[#This Row],[퀴즈합계]]/5*0.3)</f>
        <v>16.5</v>
      </c>
      <c r="BM10" s="28">
        <v>30</v>
      </c>
      <c r="BN10" s="28">
        <v>5.2</v>
      </c>
      <c r="BO10" s="13"/>
      <c r="BP10" s="28">
        <f>SUM(QuizMatchTable[[#This Row],[퀴즈점수(30)]],BM10,BN10,BO10)</f>
        <v>51.7</v>
      </c>
      <c r="BQ10" s="13">
        <f t="shared" si="2"/>
        <v>18</v>
      </c>
      <c r="BR10" s="33" t="s">
        <v>657</v>
      </c>
      <c r="BS10" s="13">
        <v>0</v>
      </c>
      <c r="BT10" s="13"/>
    </row>
    <row r="11" spans="1:72" x14ac:dyDescent="0.3">
      <c r="A11" s="30" t="s">
        <v>64</v>
      </c>
      <c r="B11" s="8">
        <v>1</v>
      </c>
      <c r="C11" s="8">
        <v>20240812</v>
      </c>
      <c r="D11" s="9" t="s">
        <v>154</v>
      </c>
      <c r="E11" s="8" t="s">
        <v>155</v>
      </c>
      <c r="F11" s="9" t="s">
        <v>156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1"/>
      <c r="R11" s="10" t="s">
        <v>78</v>
      </c>
      <c r="S11" s="10" t="s">
        <v>106</v>
      </c>
      <c r="T11" s="10" t="s">
        <v>107</v>
      </c>
      <c r="U11" s="10" t="s">
        <v>108</v>
      </c>
      <c r="V11" s="10" t="s">
        <v>109</v>
      </c>
      <c r="W11" s="10" t="s">
        <v>110</v>
      </c>
      <c r="X11" s="10" t="s">
        <v>111</v>
      </c>
      <c r="Y11" s="10" t="s">
        <v>112</v>
      </c>
      <c r="Z11" s="10" t="s">
        <v>86</v>
      </c>
      <c r="AA11" s="10" t="s">
        <v>86</v>
      </c>
      <c r="AB11" s="11">
        <f>10*SUMPRODUCT(--(R11:AA11&lt;&gt;""),--(((R11:AA11=정답표!$C$4:$L$4)+(R11:AA11=정답표!$C$5:$L$5))&gt;0))</f>
        <v>100</v>
      </c>
      <c r="AC11" s="10" t="s">
        <v>157</v>
      </c>
      <c r="AD11" s="10" t="s">
        <v>114</v>
      </c>
      <c r="AE11" s="10" t="s">
        <v>115</v>
      </c>
      <c r="AF11" s="10" t="s">
        <v>116</v>
      </c>
      <c r="AG11" s="10" t="s">
        <v>117</v>
      </c>
      <c r="AH11" s="10" t="s">
        <v>118</v>
      </c>
      <c r="AI11" s="10" t="s">
        <v>119</v>
      </c>
      <c r="AJ11" s="10" t="s">
        <v>120</v>
      </c>
      <c r="AK11" s="10" t="s">
        <v>86</v>
      </c>
      <c r="AL11" s="10" t="s">
        <v>86</v>
      </c>
      <c r="AM11" s="11">
        <f>10*SUMPRODUCT(--(AC11:AL11&lt;&gt;""),--(((AC11:AL11=정답표!$C$6:$L$6)+(AC11:AL11=정답표!$C$7:$L$7))&gt;0))</f>
        <v>90</v>
      </c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1"/>
      <c r="AY11" s="10" t="s">
        <v>121</v>
      </c>
      <c r="AZ11" s="10" t="s">
        <v>122</v>
      </c>
      <c r="BA11" s="10" t="s">
        <v>123</v>
      </c>
      <c r="BB11" s="10" t="s">
        <v>124</v>
      </c>
      <c r="BC11" s="10" t="s">
        <v>125</v>
      </c>
      <c r="BD11" s="10" t="s">
        <v>126</v>
      </c>
      <c r="BE11" s="10" t="s">
        <v>127</v>
      </c>
      <c r="BF11" s="10" t="s">
        <v>86</v>
      </c>
      <c r="BG11" s="10" t="s">
        <v>86</v>
      </c>
      <c r="BH11" s="10" t="s">
        <v>102</v>
      </c>
      <c r="BI11" s="11">
        <f>10*SUMPRODUCT(--(AY11:BH11&lt;&gt;""),--(((AY11:BH11=정답표!$C$10:$L$10)+(AY11:BH11=정답표!$C$11:$L$11))&gt;0))</f>
        <v>100</v>
      </c>
      <c r="BJ11" s="11">
        <f t="shared" si="3"/>
        <v>290</v>
      </c>
      <c r="BK11" s="12">
        <f t="shared" si="4"/>
        <v>3</v>
      </c>
      <c r="BL11" s="28">
        <f>IF(QuizMatchTable[[#This Row],[분반]]=1, QuizMatchTable[[#This Row],[퀴즈합계]]/4 *0.3, QuizMatchTable[[#This Row],[퀴즈합계]]/5*0.3)</f>
        <v>21.75</v>
      </c>
      <c r="BM11" s="28">
        <v>26</v>
      </c>
      <c r="BN11" s="28">
        <v>19.600000000000001</v>
      </c>
      <c r="BO11" s="13"/>
      <c r="BP11" s="28">
        <f>SUM(QuizMatchTable[[#This Row],[퀴즈점수(30)]],BM11,BN11,BO11)</f>
        <v>67.349999999999994</v>
      </c>
      <c r="BQ11" s="13">
        <f t="shared" si="2"/>
        <v>9</v>
      </c>
      <c r="BR11" s="33" t="s">
        <v>655</v>
      </c>
      <c r="BS11" s="13">
        <v>6</v>
      </c>
      <c r="BT11" s="13"/>
    </row>
    <row r="12" spans="1:72" x14ac:dyDescent="0.3">
      <c r="A12" s="30" t="s">
        <v>64</v>
      </c>
      <c r="B12" s="8">
        <v>1</v>
      </c>
      <c r="C12" s="8">
        <v>20250935</v>
      </c>
      <c r="D12" s="9" t="s">
        <v>228</v>
      </c>
      <c r="E12" s="8" t="s">
        <v>229</v>
      </c>
      <c r="F12" s="9" t="s">
        <v>230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1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1"/>
      <c r="AC12" s="10" t="s">
        <v>183</v>
      </c>
      <c r="AD12" s="10" t="s">
        <v>114</v>
      </c>
      <c r="AE12" s="10" t="s">
        <v>115</v>
      </c>
      <c r="AF12" s="10" t="s">
        <v>217</v>
      </c>
      <c r="AG12" s="10" t="s">
        <v>186</v>
      </c>
      <c r="AH12" s="10" t="s">
        <v>169</v>
      </c>
      <c r="AI12" s="10" t="s">
        <v>119</v>
      </c>
      <c r="AJ12" s="10" t="s">
        <v>231</v>
      </c>
      <c r="AK12" s="10" t="s">
        <v>102</v>
      </c>
      <c r="AL12" s="10" t="s">
        <v>86</v>
      </c>
      <c r="AM12" s="11">
        <f>10*SUMPRODUCT(--(AC12:AL12&lt;&gt;""),--(((AC12:AL12=정답표!$C$6:$L$6)+(AC12:AL12=정답표!$C$7:$L$7))&gt;0))</f>
        <v>40</v>
      </c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1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1"/>
      <c r="BJ12" s="11">
        <f t="shared" si="3"/>
        <v>40</v>
      </c>
      <c r="BK12" s="12">
        <f t="shared" si="4"/>
        <v>1</v>
      </c>
      <c r="BL12" s="28">
        <f>IF(QuizMatchTable[[#This Row],[분반]]=1, QuizMatchTable[[#This Row],[퀴즈합계]]/4 *0.3, QuizMatchTable[[#This Row],[퀴즈합계]]/5*0.3)</f>
        <v>3</v>
      </c>
      <c r="BM12" s="28">
        <v>24</v>
      </c>
      <c r="BN12" s="28">
        <v>8</v>
      </c>
      <c r="BO12" s="13"/>
      <c r="BP12" s="28">
        <f>SUM(QuizMatchTable[[#This Row],[퀴즈점수(30)]],BM12,BN12,BO12)</f>
        <v>35</v>
      </c>
      <c r="BQ12" s="13">
        <f t="shared" si="2"/>
        <v>20</v>
      </c>
      <c r="BR12" s="33" t="s">
        <v>657</v>
      </c>
      <c r="BS12" s="13">
        <v>9</v>
      </c>
      <c r="BT12" s="13"/>
    </row>
    <row r="13" spans="1:72" x14ac:dyDescent="0.3">
      <c r="A13" s="30" t="s">
        <v>64</v>
      </c>
      <c r="B13" s="8">
        <v>1</v>
      </c>
      <c r="C13" s="8">
        <v>20250936</v>
      </c>
      <c r="D13" s="9" t="s">
        <v>144</v>
      </c>
      <c r="E13" s="8" t="s">
        <v>145</v>
      </c>
      <c r="F13" s="9" t="s">
        <v>146</v>
      </c>
      <c r="G13" s="10" t="s">
        <v>68</v>
      </c>
      <c r="H13" s="10" t="s">
        <v>69</v>
      </c>
      <c r="I13" s="10" t="s">
        <v>70</v>
      </c>
      <c r="J13" s="10" t="s">
        <v>71</v>
      </c>
      <c r="K13" s="10" t="s">
        <v>72</v>
      </c>
      <c r="L13" s="10" t="s">
        <v>73</v>
      </c>
      <c r="M13" s="10" t="s">
        <v>74</v>
      </c>
      <c r="N13" s="10" t="s">
        <v>75</v>
      </c>
      <c r="O13" s="10" t="s">
        <v>76</v>
      </c>
      <c r="P13" s="10" t="s">
        <v>77</v>
      </c>
      <c r="Q13" s="11">
        <f>10*SUMPRODUCT(--(G13:P13&lt;&gt;""),--(((G13:P13=정답표!$C$2:$L$2)+(G13:P13=정답표!$C$3:$L$3))&gt;0))</f>
        <v>100</v>
      </c>
      <c r="R13" s="10" t="s">
        <v>78</v>
      </c>
      <c r="S13" s="10" t="s">
        <v>106</v>
      </c>
      <c r="T13" s="10" t="s">
        <v>107</v>
      </c>
      <c r="U13" s="10" t="s">
        <v>108</v>
      </c>
      <c r="V13" s="10" t="s">
        <v>109</v>
      </c>
      <c r="W13" s="10" t="s">
        <v>110</v>
      </c>
      <c r="X13" s="10" t="s">
        <v>111</v>
      </c>
      <c r="Y13" s="10" t="s">
        <v>112</v>
      </c>
      <c r="Z13" s="10" t="s">
        <v>86</v>
      </c>
      <c r="AA13" s="10" t="s">
        <v>86</v>
      </c>
      <c r="AB13" s="11">
        <f>10*SUMPRODUCT(--(R13:AA13&lt;&gt;""),--(((R13:AA13=정답표!$C$4:$L$4)+(R13:AA13=정답표!$C$5:$L$5))&gt;0))</f>
        <v>100</v>
      </c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1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1"/>
      <c r="AY13" s="10" t="s">
        <v>121</v>
      </c>
      <c r="AZ13" s="10" t="s">
        <v>122</v>
      </c>
      <c r="BA13" s="10" t="s">
        <v>123</v>
      </c>
      <c r="BB13" s="10" t="s">
        <v>124</v>
      </c>
      <c r="BC13" s="10" t="s">
        <v>125</v>
      </c>
      <c r="BD13" s="10" t="s">
        <v>126</v>
      </c>
      <c r="BE13" s="10" t="s">
        <v>127</v>
      </c>
      <c r="BF13" s="10" t="s">
        <v>86</v>
      </c>
      <c r="BG13" s="10" t="s">
        <v>86</v>
      </c>
      <c r="BH13" s="10" t="s">
        <v>102</v>
      </c>
      <c r="BI13" s="11">
        <f>10*SUMPRODUCT(--(AY13:BH13&lt;&gt;""),--(((AY13:BH13=정답표!$C$10:$L$10)+(AY13:BH13=정답표!$C$11:$L$11))&gt;0))</f>
        <v>100</v>
      </c>
      <c r="BJ13" s="11">
        <f t="shared" si="3"/>
        <v>300</v>
      </c>
      <c r="BK13" s="12">
        <f t="shared" si="4"/>
        <v>3</v>
      </c>
      <c r="BL13" s="28">
        <f>IF(QuizMatchTable[[#This Row],[분반]]=1, QuizMatchTable[[#This Row],[퀴즈합계]]/4 *0.3, QuizMatchTable[[#This Row],[퀴즈합계]]/5*0.3)</f>
        <v>22.5</v>
      </c>
      <c r="BM13" s="28">
        <v>26</v>
      </c>
      <c r="BN13" s="28">
        <v>20</v>
      </c>
      <c r="BO13" s="13"/>
      <c r="BP13" s="28">
        <f>SUM(QuizMatchTable[[#This Row],[퀴즈점수(30)]],BM13,BN13,BO13)</f>
        <v>68.5</v>
      </c>
      <c r="BQ13" s="13">
        <f t="shared" si="2"/>
        <v>7</v>
      </c>
      <c r="BR13" s="33" t="s">
        <v>654</v>
      </c>
      <c r="BS13" s="13">
        <v>6</v>
      </c>
      <c r="BT13" s="13"/>
    </row>
    <row r="14" spans="1:72" x14ac:dyDescent="0.3">
      <c r="A14" s="30" t="s">
        <v>64</v>
      </c>
      <c r="B14" s="8">
        <v>1</v>
      </c>
      <c r="C14" s="8">
        <v>20250939</v>
      </c>
      <c r="D14" s="9" t="s">
        <v>162</v>
      </c>
      <c r="E14" s="8" t="s">
        <v>163</v>
      </c>
      <c r="F14" s="9"/>
      <c r="G14" s="10" t="s">
        <v>68</v>
      </c>
      <c r="H14" s="10" t="s">
        <v>69</v>
      </c>
      <c r="I14" s="10" t="s">
        <v>70</v>
      </c>
      <c r="J14" s="10" t="s">
        <v>71</v>
      </c>
      <c r="K14" s="10" t="s">
        <v>72</v>
      </c>
      <c r="L14" s="10" t="s">
        <v>73</v>
      </c>
      <c r="M14" s="10" t="s">
        <v>74</v>
      </c>
      <c r="N14" s="10" t="s">
        <v>75</v>
      </c>
      <c r="O14" s="10" t="s">
        <v>76</v>
      </c>
      <c r="P14" s="10" t="s">
        <v>77</v>
      </c>
      <c r="Q14" s="11">
        <f>10*SUMPRODUCT(--(G14:P14&lt;&gt;""),--(((G14:P14=정답표!$C$2:$L$2)+(G14:P14=정답표!$C$3:$L$3))&gt;0))</f>
        <v>100</v>
      </c>
      <c r="R14" s="10" t="s">
        <v>78</v>
      </c>
      <c r="S14" s="10" t="s">
        <v>106</v>
      </c>
      <c r="T14" s="10" t="s">
        <v>107</v>
      </c>
      <c r="U14" s="10" t="s">
        <v>108</v>
      </c>
      <c r="V14" s="10" t="s">
        <v>109</v>
      </c>
      <c r="W14" s="10" t="s">
        <v>110</v>
      </c>
      <c r="X14" s="10" t="s">
        <v>111</v>
      </c>
      <c r="Y14" s="10" t="s">
        <v>112</v>
      </c>
      <c r="Z14" s="10" t="s">
        <v>86</v>
      </c>
      <c r="AA14" s="10" t="s">
        <v>86</v>
      </c>
      <c r="AB14" s="11">
        <f>10*SUMPRODUCT(--(R14:AA14&lt;&gt;""),--(((R14:AA14=정답표!$C$4:$L$4)+(R14:AA14=정답표!$C$5:$L$5))&gt;0))</f>
        <v>100</v>
      </c>
      <c r="AC14" s="10" t="s">
        <v>157</v>
      </c>
      <c r="AD14" s="10" t="s">
        <v>114</v>
      </c>
      <c r="AE14" s="10" t="s">
        <v>115</v>
      </c>
      <c r="AF14" s="10" t="s">
        <v>116</v>
      </c>
      <c r="AG14" s="10" t="s">
        <v>117</v>
      </c>
      <c r="AH14" s="10" t="s">
        <v>118</v>
      </c>
      <c r="AI14" s="10" t="s">
        <v>119</v>
      </c>
      <c r="AJ14" s="10" t="s">
        <v>120</v>
      </c>
      <c r="AK14" s="10" t="s">
        <v>86</v>
      </c>
      <c r="AL14" s="10" t="s">
        <v>86</v>
      </c>
      <c r="AM14" s="11">
        <f>10*SUMPRODUCT(--(AC14:AL14&lt;&gt;""),--(((AC14:AL14=정답표!$C$6:$L$6)+(AC14:AL14=정답표!$C$7:$L$7))&gt;0))</f>
        <v>90</v>
      </c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1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1"/>
      <c r="BJ14" s="11">
        <f t="shared" si="3"/>
        <v>290</v>
      </c>
      <c r="BK14" s="12">
        <f t="shared" si="4"/>
        <v>3</v>
      </c>
      <c r="BL14" s="28">
        <f>IF(QuizMatchTable[[#This Row],[분반]]=1, QuizMatchTable[[#This Row],[퀴즈합계]]/4 *0.3, QuizMatchTable[[#This Row],[퀴즈합계]]/5*0.3)</f>
        <v>21.75</v>
      </c>
      <c r="BM14" s="28">
        <v>22</v>
      </c>
      <c r="BN14" s="28">
        <v>15.2</v>
      </c>
      <c r="BO14" s="13"/>
      <c r="BP14" s="28">
        <f>SUM(QuizMatchTable[[#This Row],[퀴즈점수(30)]],BM14,BN14,BO14)</f>
        <v>58.95</v>
      </c>
      <c r="BQ14" s="13">
        <f t="shared" si="2"/>
        <v>15</v>
      </c>
      <c r="BR14" s="33" t="s">
        <v>656</v>
      </c>
      <c r="BS14" s="13">
        <v>12</v>
      </c>
      <c r="BT14" s="13"/>
    </row>
    <row r="15" spans="1:72" x14ac:dyDescent="0.3">
      <c r="A15" s="30" t="s">
        <v>64</v>
      </c>
      <c r="B15" s="8">
        <v>1</v>
      </c>
      <c r="C15" s="8">
        <v>20250940</v>
      </c>
      <c r="D15" s="9" t="s">
        <v>204</v>
      </c>
      <c r="E15" s="8" t="s">
        <v>205</v>
      </c>
      <c r="F15" s="9" t="s">
        <v>206</v>
      </c>
      <c r="G15" s="10" t="s">
        <v>68</v>
      </c>
      <c r="H15" s="10" t="s">
        <v>207</v>
      </c>
      <c r="I15" s="10" t="s">
        <v>208</v>
      </c>
      <c r="J15" s="10" t="s">
        <v>209</v>
      </c>
      <c r="K15" s="10" t="s">
        <v>72</v>
      </c>
      <c r="L15" s="10" t="s">
        <v>210</v>
      </c>
      <c r="M15" s="10" t="s">
        <v>211</v>
      </c>
      <c r="N15" s="10" t="s">
        <v>212</v>
      </c>
      <c r="O15" s="10" t="s">
        <v>77</v>
      </c>
      <c r="P15" s="10" t="s">
        <v>76</v>
      </c>
      <c r="Q15" s="11">
        <f>10*SUMPRODUCT(--(G15:P15&lt;&gt;""),--(((G15:P15=정답표!$C$2:$L$2)+(G15:P15=정답표!$C$3:$L$3))&gt;0))</f>
        <v>20</v>
      </c>
      <c r="R15" s="10" t="s">
        <v>213</v>
      </c>
      <c r="S15" s="10" t="s">
        <v>106</v>
      </c>
      <c r="T15" s="10" t="s">
        <v>175</v>
      </c>
      <c r="U15" s="10" t="s">
        <v>176</v>
      </c>
      <c r="V15" s="10" t="s">
        <v>214</v>
      </c>
      <c r="W15" s="10" t="s">
        <v>215</v>
      </c>
      <c r="X15" s="10" t="s">
        <v>216</v>
      </c>
      <c r="Y15" s="10" t="s">
        <v>112</v>
      </c>
      <c r="Z15" s="10" t="s">
        <v>86</v>
      </c>
      <c r="AA15" s="10" t="s">
        <v>102</v>
      </c>
      <c r="AB15" s="11">
        <f>10*SUMPRODUCT(--(R15:AA15&lt;&gt;""),--(((R15:AA15=정답표!$C$4:$L$4)+(R15:AA15=정답표!$C$5:$L$5))&gt;0))</f>
        <v>30</v>
      </c>
      <c r="AC15" s="10" t="s">
        <v>183</v>
      </c>
      <c r="AD15" s="10" t="s">
        <v>178</v>
      </c>
      <c r="AE15" s="10" t="s">
        <v>115</v>
      </c>
      <c r="AF15" s="10" t="s">
        <v>217</v>
      </c>
      <c r="AG15" s="10" t="s">
        <v>168</v>
      </c>
      <c r="AH15" s="10" t="s">
        <v>169</v>
      </c>
      <c r="AI15" s="10" t="s">
        <v>218</v>
      </c>
      <c r="AJ15" s="10" t="s">
        <v>188</v>
      </c>
      <c r="AK15" s="10" t="s">
        <v>86</v>
      </c>
      <c r="AL15" s="10" t="s">
        <v>102</v>
      </c>
      <c r="AM15" s="11">
        <f>10*SUMPRODUCT(--(AC15:AL15&lt;&gt;""),--(((AC15:AL15=정답표!$C$6:$L$6)+(AC15:AL15=정답표!$C$7:$L$7))&gt;0))</f>
        <v>20</v>
      </c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1"/>
      <c r="AY15" s="10" t="s">
        <v>219</v>
      </c>
      <c r="AZ15" s="10" t="s">
        <v>220</v>
      </c>
      <c r="BA15" s="10" t="s">
        <v>221</v>
      </c>
      <c r="BB15" s="10" t="s">
        <v>124</v>
      </c>
      <c r="BC15" s="10" t="s">
        <v>222</v>
      </c>
      <c r="BD15" s="10" t="s">
        <v>126</v>
      </c>
      <c r="BE15" s="10" t="s">
        <v>127</v>
      </c>
      <c r="BF15" s="10" t="s">
        <v>86</v>
      </c>
      <c r="BG15" s="10" t="s">
        <v>102</v>
      </c>
      <c r="BH15" s="10" t="s">
        <v>86</v>
      </c>
      <c r="BI15" s="11">
        <f>10*SUMPRODUCT(--(AY15:BH15&lt;&gt;""),--(((AY15:BH15=정답표!$C$10:$L$10)+(AY15:BH15=정답표!$C$11:$L$11))&gt;0))</f>
        <v>40</v>
      </c>
      <c r="BJ15" s="11">
        <f t="shared" si="3"/>
        <v>110</v>
      </c>
      <c r="BK15" s="12">
        <f t="shared" si="4"/>
        <v>4</v>
      </c>
      <c r="BL15" s="28">
        <f>IF(QuizMatchTable[[#This Row],[분반]]=1, QuizMatchTable[[#This Row],[퀴즈합계]]/4 *0.3, QuizMatchTable[[#This Row],[퀴즈합계]]/5*0.3)</f>
        <v>8.25</v>
      </c>
      <c r="BM15" s="28">
        <v>28</v>
      </c>
      <c r="BN15" s="28">
        <v>19.2</v>
      </c>
      <c r="BO15" s="13"/>
      <c r="BP15" s="28">
        <f>SUM(QuizMatchTable[[#This Row],[퀴즈점수(30)]],BM15,BN15,BO15)</f>
        <v>55.45</v>
      </c>
      <c r="BQ15" s="13">
        <f t="shared" si="2"/>
        <v>17</v>
      </c>
      <c r="BR15" s="33" t="s">
        <v>657</v>
      </c>
      <c r="BS15" s="13">
        <v>3</v>
      </c>
      <c r="BT15" s="13"/>
    </row>
    <row r="16" spans="1:72" x14ac:dyDescent="0.3">
      <c r="A16" s="30" t="s">
        <v>64</v>
      </c>
      <c r="B16" s="8">
        <v>1</v>
      </c>
      <c r="C16" s="8">
        <v>20250944</v>
      </c>
      <c r="D16" s="9" t="s">
        <v>103</v>
      </c>
      <c r="E16" s="8" t="s">
        <v>104</v>
      </c>
      <c r="F16" s="9" t="s">
        <v>105</v>
      </c>
      <c r="G16" s="10" t="s">
        <v>68</v>
      </c>
      <c r="H16" s="10" t="s">
        <v>69</v>
      </c>
      <c r="I16" s="10" t="s">
        <v>70</v>
      </c>
      <c r="J16" s="10" t="s">
        <v>71</v>
      </c>
      <c r="K16" s="10" t="s">
        <v>72</v>
      </c>
      <c r="L16" s="10" t="s">
        <v>73</v>
      </c>
      <c r="M16" s="10" t="s">
        <v>74</v>
      </c>
      <c r="N16" s="10" t="s">
        <v>75</v>
      </c>
      <c r="O16" s="10" t="s">
        <v>76</v>
      </c>
      <c r="P16" s="10" t="s">
        <v>77</v>
      </c>
      <c r="Q16" s="11">
        <f>10*SUMPRODUCT(--(G16:P16&lt;&gt;""),--(((G16:P16=정답표!$C$2:$L$2)+(G16:P16=정답표!$C$3:$L$3))&gt;0))</f>
        <v>100</v>
      </c>
      <c r="R16" s="10" t="s">
        <v>78</v>
      </c>
      <c r="S16" s="10" t="s">
        <v>106</v>
      </c>
      <c r="T16" s="10" t="s">
        <v>107</v>
      </c>
      <c r="U16" s="10" t="s">
        <v>108</v>
      </c>
      <c r="V16" s="10" t="s">
        <v>109</v>
      </c>
      <c r="W16" s="10" t="s">
        <v>110</v>
      </c>
      <c r="X16" s="10" t="s">
        <v>111</v>
      </c>
      <c r="Y16" s="10" t="s">
        <v>112</v>
      </c>
      <c r="Z16" s="10" t="s">
        <v>86</v>
      </c>
      <c r="AA16" s="10" t="s">
        <v>86</v>
      </c>
      <c r="AB16" s="11">
        <f>10*SUMPRODUCT(--(R16:AA16&lt;&gt;""),--(((R16:AA16=정답표!$C$4:$L$4)+(R16:AA16=정답표!$C$5:$L$5))&gt;0))</f>
        <v>100</v>
      </c>
      <c r="AC16" s="10" t="s">
        <v>113</v>
      </c>
      <c r="AD16" s="10" t="s">
        <v>114</v>
      </c>
      <c r="AE16" s="10" t="s">
        <v>115</v>
      </c>
      <c r="AF16" s="10" t="s">
        <v>116</v>
      </c>
      <c r="AG16" s="10" t="s">
        <v>117</v>
      </c>
      <c r="AH16" s="10" t="s">
        <v>118</v>
      </c>
      <c r="AI16" s="10" t="s">
        <v>119</v>
      </c>
      <c r="AJ16" s="10" t="s">
        <v>120</v>
      </c>
      <c r="AK16" s="10" t="s">
        <v>86</v>
      </c>
      <c r="AL16" s="10" t="s">
        <v>86</v>
      </c>
      <c r="AM16" s="11">
        <f>10*SUMPRODUCT(--(AC16:AL16&lt;&gt;""),--(((AC16:AL16=정답표!$C$6:$L$6)+(AC16:AL16=정답표!$C$7:$L$7))&gt;0))</f>
        <v>100</v>
      </c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1"/>
      <c r="AY16" s="10" t="s">
        <v>121</v>
      </c>
      <c r="AZ16" s="10" t="s">
        <v>122</v>
      </c>
      <c r="BA16" s="10" t="s">
        <v>123</v>
      </c>
      <c r="BB16" s="10" t="s">
        <v>124</v>
      </c>
      <c r="BC16" s="10" t="s">
        <v>125</v>
      </c>
      <c r="BD16" s="10" t="s">
        <v>126</v>
      </c>
      <c r="BE16" s="10" t="s">
        <v>127</v>
      </c>
      <c r="BF16" s="10" t="s">
        <v>86</v>
      </c>
      <c r="BG16" s="10" t="s">
        <v>86</v>
      </c>
      <c r="BH16" s="10" t="s">
        <v>102</v>
      </c>
      <c r="BI16" s="11">
        <f>10*SUMPRODUCT(--(AY16:BH16&lt;&gt;""),--(((AY16:BH16=정답표!$C$10:$L$10)+(AY16:BH16=정답표!$C$11:$L$11))&gt;0))</f>
        <v>100</v>
      </c>
      <c r="BJ16" s="11">
        <f t="shared" si="3"/>
        <v>400</v>
      </c>
      <c r="BK16" s="12">
        <f t="shared" si="4"/>
        <v>4</v>
      </c>
      <c r="BL16" s="28">
        <f>IF(QuizMatchTable[[#This Row],[분반]]=1, QuizMatchTable[[#This Row],[퀴즈합계]]/4 *0.3, QuizMatchTable[[#This Row],[퀴즈합계]]/5*0.3)</f>
        <v>30</v>
      </c>
      <c r="BM16" s="28">
        <v>26</v>
      </c>
      <c r="BN16" s="28">
        <v>20</v>
      </c>
      <c r="BO16" s="13"/>
      <c r="BP16" s="28">
        <f>SUM(QuizMatchTable[[#This Row],[퀴즈점수(30)]],BM16,BN16,BO16)</f>
        <v>76</v>
      </c>
      <c r="BQ16" s="13">
        <f t="shared" si="2"/>
        <v>2</v>
      </c>
      <c r="BR16" s="33" t="s">
        <v>653</v>
      </c>
      <c r="BS16" s="13">
        <v>6</v>
      </c>
      <c r="BT16" s="13"/>
    </row>
    <row r="17" spans="1:72" x14ac:dyDescent="0.3">
      <c r="A17" s="30" t="s">
        <v>64</v>
      </c>
      <c r="B17" s="8">
        <v>1</v>
      </c>
      <c r="C17" s="8">
        <v>20250945</v>
      </c>
      <c r="D17" s="9" t="s">
        <v>164</v>
      </c>
      <c r="E17" s="8" t="s">
        <v>165</v>
      </c>
      <c r="F17" s="9" t="s">
        <v>166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 t="s">
        <v>78</v>
      </c>
      <c r="S17" s="10" t="s">
        <v>106</v>
      </c>
      <c r="T17" s="10" t="s">
        <v>107</v>
      </c>
      <c r="U17" s="10" t="s">
        <v>108</v>
      </c>
      <c r="V17" s="10" t="s">
        <v>109</v>
      </c>
      <c r="W17" s="10" t="s">
        <v>110</v>
      </c>
      <c r="X17" s="10" t="s">
        <v>111</v>
      </c>
      <c r="Y17" s="10" t="s">
        <v>112</v>
      </c>
      <c r="Z17" s="10" t="s">
        <v>86</v>
      </c>
      <c r="AA17" s="10" t="s">
        <v>86</v>
      </c>
      <c r="AB17" s="11">
        <f>10*SUMPRODUCT(--(R17:AA17&lt;&gt;""),--(((R17:AA17=정답표!$C$4:$L$4)+(R17:AA17=정답표!$C$5:$L$5))&gt;0))</f>
        <v>100</v>
      </c>
      <c r="AC17" s="10" t="s">
        <v>157</v>
      </c>
      <c r="AD17" s="10" t="s">
        <v>114</v>
      </c>
      <c r="AE17" s="10" t="s">
        <v>167</v>
      </c>
      <c r="AF17" s="10" t="s">
        <v>116</v>
      </c>
      <c r="AG17" s="10" t="s">
        <v>168</v>
      </c>
      <c r="AH17" s="10" t="s">
        <v>169</v>
      </c>
      <c r="AI17" s="10" t="s">
        <v>170</v>
      </c>
      <c r="AJ17" s="10" t="s">
        <v>131</v>
      </c>
      <c r="AK17" s="10" t="s">
        <v>86</v>
      </c>
      <c r="AL17" s="10" t="s">
        <v>86</v>
      </c>
      <c r="AM17" s="11">
        <f>10*SUMPRODUCT(--(AC17:AL17&lt;&gt;""),--(((AC17:AL17=정답표!$C$6:$L$6)+(AC17:AL17=정답표!$C$7:$L$7))&gt;0))</f>
        <v>40</v>
      </c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1"/>
      <c r="AY17" s="10" t="s">
        <v>121</v>
      </c>
      <c r="AZ17" s="10" t="s">
        <v>122</v>
      </c>
      <c r="BA17" s="10" t="s">
        <v>123</v>
      </c>
      <c r="BB17" s="10" t="s">
        <v>124</v>
      </c>
      <c r="BC17" s="10" t="s">
        <v>125</v>
      </c>
      <c r="BD17" s="10" t="s">
        <v>126</v>
      </c>
      <c r="BE17" s="10" t="s">
        <v>127</v>
      </c>
      <c r="BF17" s="10" t="s">
        <v>86</v>
      </c>
      <c r="BG17" s="10" t="s">
        <v>86</v>
      </c>
      <c r="BH17" s="10" t="s">
        <v>102</v>
      </c>
      <c r="BI17" s="11">
        <f>10*SUMPRODUCT(--(AY17:BH17&lt;&gt;""),--(((AY17:BH17=정답표!$C$10:$L$10)+(AY17:BH17=정답표!$C$11:$L$11))&gt;0))</f>
        <v>100</v>
      </c>
      <c r="BJ17" s="11">
        <f t="shared" si="3"/>
        <v>240</v>
      </c>
      <c r="BK17" s="12">
        <f t="shared" si="4"/>
        <v>3</v>
      </c>
      <c r="BL17" s="28">
        <f>IF(QuizMatchTable[[#This Row],[분반]]=1, QuizMatchTable[[#This Row],[퀴즈합계]]/4 *0.3, QuizMatchTable[[#This Row],[퀴즈합계]]/5*0.3)</f>
        <v>18</v>
      </c>
      <c r="BM17" s="28">
        <v>26</v>
      </c>
      <c r="BN17" s="28">
        <v>19.600000000000001</v>
      </c>
      <c r="BO17" s="13"/>
      <c r="BP17" s="28">
        <f>SUM(QuizMatchTable[[#This Row],[퀴즈점수(30)]],BM17,BN17,BO17)</f>
        <v>63.6</v>
      </c>
      <c r="BQ17" s="13">
        <f t="shared" si="2"/>
        <v>12</v>
      </c>
      <c r="BR17" s="33" t="s">
        <v>655</v>
      </c>
      <c r="BS17" s="13">
        <v>6</v>
      </c>
      <c r="BT17" s="13"/>
    </row>
    <row r="18" spans="1:72" x14ac:dyDescent="0.3">
      <c r="A18" s="30" t="s">
        <v>64</v>
      </c>
      <c r="B18" s="8">
        <v>1</v>
      </c>
      <c r="C18" s="8">
        <v>20251606</v>
      </c>
      <c r="D18" s="9" t="s">
        <v>195</v>
      </c>
      <c r="E18" s="8" t="s">
        <v>196</v>
      </c>
      <c r="F18" s="9" t="s">
        <v>197</v>
      </c>
      <c r="G18" s="10" t="s">
        <v>68</v>
      </c>
      <c r="H18" s="10" t="s">
        <v>69</v>
      </c>
      <c r="I18" s="10" t="s">
        <v>70</v>
      </c>
      <c r="J18" s="10" t="s">
        <v>71</v>
      </c>
      <c r="K18" s="10" t="s">
        <v>72</v>
      </c>
      <c r="L18" s="10" t="s">
        <v>198</v>
      </c>
      <c r="M18" s="10" t="s">
        <v>135</v>
      </c>
      <c r="N18" s="10" t="s">
        <v>75</v>
      </c>
      <c r="O18" s="10" t="s">
        <v>77</v>
      </c>
      <c r="P18" s="10" t="s">
        <v>77</v>
      </c>
      <c r="Q18" s="11">
        <f>10*SUMPRODUCT(--(G18:P18&lt;&gt;""),--(((G18:P18=정답표!$C$2:$L$2)+(G18:P18=정답표!$C$3:$L$3))&gt;0))</f>
        <v>70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1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1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1"/>
      <c r="AY18" s="10" t="s">
        <v>95</v>
      </c>
      <c r="AZ18" s="10" t="s">
        <v>96</v>
      </c>
      <c r="BA18" s="10" t="s">
        <v>97</v>
      </c>
      <c r="BB18" s="10" t="s">
        <v>199</v>
      </c>
      <c r="BC18" s="10" t="s">
        <v>99</v>
      </c>
      <c r="BD18" s="10" t="s">
        <v>100</v>
      </c>
      <c r="BE18" s="10" t="s">
        <v>101</v>
      </c>
      <c r="BF18" s="10" t="s">
        <v>86</v>
      </c>
      <c r="BG18" s="10" t="s">
        <v>86</v>
      </c>
      <c r="BH18" s="10" t="s">
        <v>102</v>
      </c>
      <c r="BI18" s="11">
        <f>10*SUMPRODUCT(--(AY18:BH18&lt;&gt;""),--(((AY18:BH18=정답표!$C$10:$L$10)+(AY18:BH18=정답표!$C$11:$L$11))&gt;0))</f>
        <v>90</v>
      </c>
      <c r="BJ18" s="11">
        <f t="shared" si="3"/>
        <v>160</v>
      </c>
      <c r="BK18" s="12">
        <f t="shared" si="4"/>
        <v>2</v>
      </c>
      <c r="BL18" s="28">
        <f>IF(QuizMatchTable[[#This Row],[분반]]=1, QuizMatchTable[[#This Row],[퀴즈합계]]/4 *0.3, QuizMatchTable[[#This Row],[퀴즈합계]]/5*0.3)</f>
        <v>12</v>
      </c>
      <c r="BM18" s="28">
        <v>22</v>
      </c>
      <c r="BN18" s="28">
        <v>0</v>
      </c>
      <c r="BO18" s="13"/>
      <c r="BP18" s="28">
        <f>SUM(QuizMatchTable[[#This Row],[퀴즈점수(30)]],BM18,BN18,BO18)</f>
        <v>34</v>
      </c>
      <c r="BQ18" s="13">
        <f t="shared" si="2"/>
        <v>21</v>
      </c>
      <c r="BR18" s="33" t="s">
        <v>657</v>
      </c>
      <c r="BS18" s="13">
        <v>12</v>
      </c>
      <c r="BT18" s="13"/>
    </row>
    <row r="19" spans="1:72" x14ac:dyDescent="0.3">
      <c r="A19" s="30" t="s">
        <v>64</v>
      </c>
      <c r="B19" s="8">
        <v>1</v>
      </c>
      <c r="C19" s="8">
        <v>20251670</v>
      </c>
      <c r="D19" s="9" t="s">
        <v>147</v>
      </c>
      <c r="E19" s="8" t="s">
        <v>148</v>
      </c>
      <c r="F19" s="9" t="s">
        <v>149</v>
      </c>
      <c r="G19" s="10" t="s">
        <v>68</v>
      </c>
      <c r="H19" s="10" t="s">
        <v>69</v>
      </c>
      <c r="I19" s="10" t="s">
        <v>70</v>
      </c>
      <c r="J19" s="10" t="s">
        <v>71</v>
      </c>
      <c r="K19" s="10" t="s">
        <v>72</v>
      </c>
      <c r="L19" s="10" t="s">
        <v>73</v>
      </c>
      <c r="M19" s="10" t="s">
        <v>74</v>
      </c>
      <c r="N19" s="10" t="s">
        <v>75</v>
      </c>
      <c r="O19" s="10" t="s">
        <v>76</v>
      </c>
      <c r="P19" s="10" t="s">
        <v>77</v>
      </c>
      <c r="Q19" s="11">
        <f>10*SUMPRODUCT(--(G19:P19&lt;&gt;""),--(((G19:P19=정답표!$C$2:$L$2)+(G19:P19=정답표!$C$3:$L$3))&gt;0))</f>
        <v>100</v>
      </c>
      <c r="R19" s="10" t="s">
        <v>78</v>
      </c>
      <c r="S19" s="10" t="s">
        <v>106</v>
      </c>
      <c r="T19" s="10" t="s">
        <v>107</v>
      </c>
      <c r="U19" s="10" t="s">
        <v>108</v>
      </c>
      <c r="V19" s="10" t="s">
        <v>109</v>
      </c>
      <c r="W19" s="10" t="s">
        <v>110</v>
      </c>
      <c r="X19" s="10" t="s">
        <v>111</v>
      </c>
      <c r="Y19" s="10" t="s">
        <v>112</v>
      </c>
      <c r="Z19" s="10" t="s">
        <v>86</v>
      </c>
      <c r="AA19" s="10" t="s">
        <v>86</v>
      </c>
      <c r="AB19" s="11">
        <f>10*SUMPRODUCT(--(R19:AA19&lt;&gt;""),--(((R19:AA19=정답표!$C$4:$L$4)+(R19:AA19=정답표!$C$5:$L$5))&gt;0))</f>
        <v>100</v>
      </c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1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1"/>
      <c r="AY19" s="10" t="s">
        <v>121</v>
      </c>
      <c r="AZ19" s="10" t="s">
        <v>122</v>
      </c>
      <c r="BA19" s="10" t="s">
        <v>123</v>
      </c>
      <c r="BB19" s="10" t="s">
        <v>124</v>
      </c>
      <c r="BC19" s="10" t="s">
        <v>125</v>
      </c>
      <c r="BD19" s="10" t="s">
        <v>126</v>
      </c>
      <c r="BE19" s="10" t="s">
        <v>127</v>
      </c>
      <c r="BF19" s="10" t="s">
        <v>86</v>
      </c>
      <c r="BG19" s="10" t="s">
        <v>86</v>
      </c>
      <c r="BH19" s="10" t="s">
        <v>102</v>
      </c>
      <c r="BI19" s="11">
        <f>10*SUMPRODUCT(--(AY19:BH19&lt;&gt;""),--(((AY19:BH19=정답표!$C$10:$L$10)+(AY19:BH19=정답표!$C$11:$L$11))&gt;0))</f>
        <v>100</v>
      </c>
      <c r="BJ19" s="11">
        <f t="shared" si="3"/>
        <v>300</v>
      </c>
      <c r="BK19" s="12">
        <f t="shared" si="4"/>
        <v>3</v>
      </c>
      <c r="BL19" s="28">
        <f>IF(QuizMatchTable[[#This Row],[분반]]=1, QuizMatchTable[[#This Row],[퀴즈합계]]/4 *0.3, QuizMatchTable[[#This Row],[퀴즈합계]]/5*0.3)</f>
        <v>22.5</v>
      </c>
      <c r="BM19" s="28">
        <v>26</v>
      </c>
      <c r="BN19" s="28">
        <v>20</v>
      </c>
      <c r="BO19" s="13"/>
      <c r="BP19" s="28">
        <f>SUM(QuizMatchTable[[#This Row],[퀴즈점수(30)]],BM19,BN19,BO19)</f>
        <v>68.5</v>
      </c>
      <c r="BQ19" s="13">
        <f t="shared" si="2"/>
        <v>7</v>
      </c>
      <c r="BR19" s="33" t="s">
        <v>654</v>
      </c>
      <c r="BS19" s="13">
        <v>6</v>
      </c>
      <c r="BT19" s="13"/>
    </row>
    <row r="20" spans="1:72" x14ac:dyDescent="0.3">
      <c r="A20" s="30" t="s">
        <v>64</v>
      </c>
      <c r="B20" s="8">
        <v>1</v>
      </c>
      <c r="C20" s="8">
        <v>20251672</v>
      </c>
      <c r="D20" s="9" t="s">
        <v>237</v>
      </c>
      <c r="E20" s="8" t="s">
        <v>238</v>
      </c>
      <c r="F20" s="9" t="s">
        <v>239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1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1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1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1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1"/>
      <c r="BJ20" s="11"/>
      <c r="BK20" s="12"/>
      <c r="BL20" s="28">
        <f>IF(QuizMatchTable[[#This Row],[분반]]=1, QuizMatchTable[[#This Row],[퀴즈합계]]/4 *0.3, QuizMatchTable[[#This Row],[퀴즈합계]]/5*0.3)</f>
        <v>0</v>
      </c>
      <c r="BM20" s="28">
        <v>0</v>
      </c>
      <c r="BN20" s="28">
        <v>0</v>
      </c>
      <c r="BO20" s="13"/>
      <c r="BP20" s="28">
        <f>SUM(QuizMatchTable[[#This Row],[퀴즈점수(30)]],BM20,BN20,BO20)</f>
        <v>0</v>
      </c>
      <c r="BQ20" s="13" t="str">
        <f t="shared" si="2"/>
        <v/>
      </c>
      <c r="BR20" s="33" t="s">
        <v>657</v>
      </c>
      <c r="BS20" s="13">
        <v>33</v>
      </c>
      <c r="BT20" s="13" t="s">
        <v>904</v>
      </c>
    </row>
    <row r="21" spans="1:72" x14ac:dyDescent="0.3">
      <c r="A21" s="30" t="s">
        <v>64</v>
      </c>
      <c r="B21" s="8">
        <v>1</v>
      </c>
      <c r="C21" s="8">
        <v>20251909</v>
      </c>
      <c r="D21" s="9" t="s">
        <v>223</v>
      </c>
      <c r="E21" s="8" t="s">
        <v>224</v>
      </c>
      <c r="F21" s="9" t="s">
        <v>225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1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1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1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1"/>
      <c r="AY21" s="10" t="s">
        <v>95</v>
      </c>
      <c r="AZ21" s="10" t="s">
        <v>96</v>
      </c>
      <c r="BA21" s="10" t="s">
        <v>97</v>
      </c>
      <c r="BB21" s="10" t="s">
        <v>98</v>
      </c>
      <c r="BC21" s="10" t="s">
        <v>99</v>
      </c>
      <c r="BD21" s="10" t="s">
        <v>100</v>
      </c>
      <c r="BE21" s="10" t="s">
        <v>101</v>
      </c>
      <c r="BF21" s="10" t="s">
        <v>86</v>
      </c>
      <c r="BG21" s="10" t="s">
        <v>86</v>
      </c>
      <c r="BH21" s="10" t="s">
        <v>102</v>
      </c>
      <c r="BI21" s="11">
        <f>10*SUMPRODUCT(--(AY21:BH21&lt;&gt;""),--(((AY21:BH21=정답표!$C$10:$L$10)+(AY21:BH21=정답표!$C$11:$L$11))&gt;0))</f>
        <v>100</v>
      </c>
      <c r="BJ21" s="11">
        <f t="shared" ref="BJ21:BJ27" si="5">SUM(Q21,AB21,AM21,AX21,BI21)</f>
        <v>100</v>
      </c>
      <c r="BK21" s="12">
        <f t="shared" ref="BK21:BK27" si="6">COUNT(Q21,AB21,AM21,AX21,BI21)</f>
        <v>1</v>
      </c>
      <c r="BL21" s="28">
        <f>IF(QuizMatchTable[[#This Row],[분반]]=1, QuizMatchTable[[#This Row],[퀴즈합계]]/4 *0.3, QuizMatchTable[[#This Row],[퀴즈합계]]/5*0.3)</f>
        <v>7.5</v>
      </c>
      <c r="BM21" s="28">
        <v>0</v>
      </c>
      <c r="BN21" s="28">
        <v>0</v>
      </c>
      <c r="BO21" s="13"/>
      <c r="BP21" s="28">
        <f>SUM(QuizMatchTable[[#This Row],[퀴즈점수(30)]],BM21,BN21,BO21)</f>
        <v>7.5</v>
      </c>
      <c r="BQ21" s="13" t="str">
        <f t="shared" si="2"/>
        <v/>
      </c>
      <c r="BR21" s="33" t="s">
        <v>657</v>
      </c>
      <c r="BS21" s="13">
        <v>18</v>
      </c>
      <c r="BT21" s="13" t="s">
        <v>904</v>
      </c>
    </row>
    <row r="22" spans="1:72" x14ac:dyDescent="0.3">
      <c r="A22" s="30" t="s">
        <v>64</v>
      </c>
      <c r="B22" s="8">
        <v>1</v>
      </c>
      <c r="C22" s="8">
        <v>20251910</v>
      </c>
      <c r="D22" s="9" t="s">
        <v>158</v>
      </c>
      <c r="E22" s="8" t="s">
        <v>159</v>
      </c>
      <c r="F22" s="9" t="s">
        <v>160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1"/>
      <c r="R22" s="10" t="s">
        <v>78</v>
      </c>
      <c r="S22" s="10" t="s">
        <v>79</v>
      </c>
      <c r="T22" s="10" t="s">
        <v>80</v>
      </c>
      <c r="U22" s="10" t="s">
        <v>81</v>
      </c>
      <c r="V22" s="10" t="s">
        <v>82</v>
      </c>
      <c r="W22" s="10" t="s">
        <v>83</v>
      </c>
      <c r="X22" s="10" t="s">
        <v>84</v>
      </c>
      <c r="Y22" s="10" t="s">
        <v>85</v>
      </c>
      <c r="Z22" s="10" t="s">
        <v>86</v>
      </c>
      <c r="AA22" s="10" t="s">
        <v>86</v>
      </c>
      <c r="AB22" s="11">
        <f>10*SUMPRODUCT(--(R22:AA22&lt;&gt;""),--(((R22:AA22=정답표!$C$4:$L$4)+(R22:AA22=정답표!$C$5:$L$5))&gt;0))</f>
        <v>100</v>
      </c>
      <c r="AC22" s="10" t="s">
        <v>87</v>
      </c>
      <c r="AD22" s="10" t="s">
        <v>88</v>
      </c>
      <c r="AE22" s="10" t="s">
        <v>89</v>
      </c>
      <c r="AF22" s="10" t="s">
        <v>90</v>
      </c>
      <c r="AG22" s="10" t="s">
        <v>161</v>
      </c>
      <c r="AH22" s="10" t="s">
        <v>92</v>
      </c>
      <c r="AI22" s="10" t="s">
        <v>93</v>
      </c>
      <c r="AJ22" s="10" t="s">
        <v>94</v>
      </c>
      <c r="AK22" s="10" t="s">
        <v>86</v>
      </c>
      <c r="AL22" s="10" t="s">
        <v>86</v>
      </c>
      <c r="AM22" s="11">
        <f>10*SUMPRODUCT(--(AC22:AL22&lt;&gt;""),--(((AC22:AL22=정답표!$C$6:$L$6)+(AC22:AL22=정답표!$C$7:$L$7))&gt;0))</f>
        <v>90</v>
      </c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1"/>
      <c r="AY22" s="10" t="s">
        <v>95</v>
      </c>
      <c r="AZ22" s="10" t="s">
        <v>96</v>
      </c>
      <c r="BA22" s="10" t="s">
        <v>97</v>
      </c>
      <c r="BB22" s="10" t="s">
        <v>98</v>
      </c>
      <c r="BC22" s="10" t="s">
        <v>99</v>
      </c>
      <c r="BD22" s="10" t="s">
        <v>100</v>
      </c>
      <c r="BE22" s="10" t="s">
        <v>101</v>
      </c>
      <c r="BF22" s="10" t="s">
        <v>86</v>
      </c>
      <c r="BG22" s="10" t="s">
        <v>86</v>
      </c>
      <c r="BH22" s="10" t="s">
        <v>102</v>
      </c>
      <c r="BI22" s="11">
        <f>10*SUMPRODUCT(--(AY22:BH22&lt;&gt;""),--(((AY22:BH22=정답표!$C$10:$L$10)+(AY22:BH22=정답표!$C$11:$L$11))&gt;0))</f>
        <v>100</v>
      </c>
      <c r="BJ22" s="11">
        <f t="shared" si="5"/>
        <v>290</v>
      </c>
      <c r="BK22" s="12">
        <f t="shared" si="6"/>
        <v>3</v>
      </c>
      <c r="BL22" s="28">
        <f>IF(QuizMatchTable[[#This Row],[분반]]=1, QuizMatchTable[[#This Row],[퀴즈합계]]/4 *0.3, QuizMatchTable[[#This Row],[퀴즈합계]]/5*0.3)</f>
        <v>21.75</v>
      </c>
      <c r="BM22" s="28">
        <v>28</v>
      </c>
      <c r="BN22" s="28">
        <v>16.8</v>
      </c>
      <c r="BO22" s="13"/>
      <c r="BP22" s="28">
        <f>SUM(QuizMatchTable[[#This Row],[퀴즈점수(30)]],BM22,BN22,BO22)</f>
        <v>66.55</v>
      </c>
      <c r="BQ22" s="13">
        <f t="shared" si="2"/>
        <v>10</v>
      </c>
      <c r="BR22" s="33" t="s">
        <v>655</v>
      </c>
      <c r="BS22" s="13">
        <v>3</v>
      </c>
      <c r="BT22" s="13"/>
    </row>
    <row r="23" spans="1:72" x14ac:dyDescent="0.3">
      <c r="A23" s="30" t="s">
        <v>64</v>
      </c>
      <c r="B23" s="8">
        <v>1</v>
      </c>
      <c r="C23" s="8">
        <v>20251913</v>
      </c>
      <c r="D23" s="9" t="s">
        <v>226</v>
      </c>
      <c r="E23" s="8" t="s">
        <v>227</v>
      </c>
      <c r="F23" s="9" t="s">
        <v>225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1"/>
      <c r="R23" s="10" t="s">
        <v>78</v>
      </c>
      <c r="S23" s="10" t="s">
        <v>79</v>
      </c>
      <c r="T23" s="10" t="s">
        <v>80</v>
      </c>
      <c r="U23" s="10" t="s">
        <v>81</v>
      </c>
      <c r="V23" s="10" t="s">
        <v>82</v>
      </c>
      <c r="W23" s="10" t="s">
        <v>83</v>
      </c>
      <c r="X23" s="10" t="s">
        <v>84</v>
      </c>
      <c r="Y23" s="10" t="s">
        <v>85</v>
      </c>
      <c r="Z23" s="10" t="s">
        <v>86</v>
      </c>
      <c r="AA23" s="10" t="s">
        <v>86</v>
      </c>
      <c r="AB23" s="11">
        <f>10*SUMPRODUCT(--(R23:AA23&lt;&gt;""),--(((R23:AA23=정답표!$C$4:$L$4)+(R23:AA23=정답표!$C$5:$L$5))&gt;0))</f>
        <v>100</v>
      </c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1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1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1"/>
      <c r="BJ23" s="11">
        <f t="shared" si="5"/>
        <v>100</v>
      </c>
      <c r="BK23" s="12">
        <f t="shared" si="6"/>
        <v>1</v>
      </c>
      <c r="BL23" s="28">
        <f>IF(QuizMatchTable[[#This Row],[분반]]=1, QuizMatchTable[[#This Row],[퀴즈합계]]/4 *0.3, QuizMatchTable[[#This Row],[퀴즈합계]]/5*0.3)</f>
        <v>7.5</v>
      </c>
      <c r="BM23" s="28">
        <v>0</v>
      </c>
      <c r="BN23" s="28">
        <v>0</v>
      </c>
      <c r="BO23" s="13"/>
      <c r="BP23" s="28">
        <f>SUM(QuizMatchTable[[#This Row],[퀴즈점수(30)]],BM23,BN23,BO23)</f>
        <v>7.5</v>
      </c>
      <c r="BQ23" s="13" t="str">
        <f t="shared" si="2"/>
        <v/>
      </c>
      <c r="BR23" s="33" t="s">
        <v>657</v>
      </c>
      <c r="BS23" s="13">
        <v>24</v>
      </c>
      <c r="BT23" s="13" t="s">
        <v>904</v>
      </c>
    </row>
    <row r="24" spans="1:72" x14ac:dyDescent="0.3">
      <c r="A24" s="30" t="s">
        <v>64</v>
      </c>
      <c r="B24" s="8">
        <v>1</v>
      </c>
      <c r="C24" s="8">
        <v>20251915</v>
      </c>
      <c r="D24" s="9" t="s">
        <v>180</v>
      </c>
      <c r="E24" s="8" t="s">
        <v>181</v>
      </c>
      <c r="F24" s="9" t="s">
        <v>182</v>
      </c>
      <c r="G24" s="10" t="s">
        <v>68</v>
      </c>
      <c r="H24" s="10" t="s">
        <v>69</v>
      </c>
      <c r="I24" s="10" t="s">
        <v>70</v>
      </c>
      <c r="J24" s="10" t="s">
        <v>71</v>
      </c>
      <c r="K24" s="10" t="s">
        <v>72</v>
      </c>
      <c r="L24" s="10" t="s">
        <v>73</v>
      </c>
      <c r="M24" s="10" t="s">
        <v>135</v>
      </c>
      <c r="N24" s="10" t="s">
        <v>75</v>
      </c>
      <c r="O24" s="10" t="s">
        <v>76</v>
      </c>
      <c r="P24" s="10" t="s">
        <v>77</v>
      </c>
      <c r="Q24" s="11">
        <f>10*SUMPRODUCT(--(G24:P24&lt;&gt;""),--(((G24:P24=정답표!$C$2:$L$2)+(G24:P24=정답표!$C$3:$L$3))&gt;0))</f>
        <v>90</v>
      </c>
      <c r="R24" s="10" t="s">
        <v>78</v>
      </c>
      <c r="S24" s="10" t="s">
        <v>106</v>
      </c>
      <c r="T24" s="10" t="s">
        <v>107</v>
      </c>
      <c r="U24" s="10" t="s">
        <v>108</v>
      </c>
      <c r="V24" s="10" t="s">
        <v>109</v>
      </c>
      <c r="W24" s="10" t="s">
        <v>110</v>
      </c>
      <c r="X24" s="10" t="s">
        <v>111</v>
      </c>
      <c r="Y24" s="10" t="s">
        <v>112</v>
      </c>
      <c r="Z24" s="10" t="s">
        <v>86</v>
      </c>
      <c r="AA24" s="10" t="s">
        <v>86</v>
      </c>
      <c r="AB24" s="11">
        <f>10*SUMPRODUCT(--(R24:AA24&lt;&gt;""),--(((R24:AA24=정답표!$C$4:$L$4)+(R24:AA24=정답표!$C$5:$L$5))&gt;0))</f>
        <v>100</v>
      </c>
      <c r="AC24" s="10" t="s">
        <v>183</v>
      </c>
      <c r="AD24" s="10" t="s">
        <v>114</v>
      </c>
      <c r="AE24" s="10" t="s">
        <v>184</v>
      </c>
      <c r="AF24" s="10" t="s">
        <v>185</v>
      </c>
      <c r="AG24" s="10" t="s">
        <v>186</v>
      </c>
      <c r="AH24" s="10" t="s">
        <v>169</v>
      </c>
      <c r="AI24" s="10" t="s">
        <v>187</v>
      </c>
      <c r="AJ24" s="10" t="s">
        <v>188</v>
      </c>
      <c r="AK24" s="10" t="s">
        <v>102</v>
      </c>
      <c r="AL24" s="10" t="s">
        <v>86</v>
      </c>
      <c r="AM24" s="11">
        <f>10*SUMPRODUCT(--(AC24:AL24&lt;&gt;""),--(((AC24:AL24=정답표!$C$6:$L$6)+(AC24:AL24=정답표!$C$7:$L$7))&gt;0))</f>
        <v>20</v>
      </c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1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1"/>
      <c r="BJ24" s="11">
        <f t="shared" si="5"/>
        <v>210</v>
      </c>
      <c r="BK24" s="12">
        <f t="shared" si="6"/>
        <v>3</v>
      </c>
      <c r="BL24" s="28">
        <f>IF(QuizMatchTable[[#This Row],[분반]]=1, QuizMatchTable[[#This Row],[퀴즈합계]]/4 *0.3, QuizMatchTable[[#This Row],[퀴즈합계]]/5*0.3)</f>
        <v>15.75</v>
      </c>
      <c r="BM24" s="28">
        <v>26</v>
      </c>
      <c r="BN24" s="28">
        <v>14.8</v>
      </c>
      <c r="BO24" s="13"/>
      <c r="BP24" s="28">
        <f>SUM(QuizMatchTable[[#This Row],[퀴즈점수(30)]],BM24,BN24,BO24)</f>
        <v>56.55</v>
      </c>
      <c r="BQ24" s="13">
        <f t="shared" si="2"/>
        <v>16</v>
      </c>
      <c r="BR24" s="33" t="s">
        <v>656</v>
      </c>
      <c r="BS24" s="13">
        <v>6</v>
      </c>
      <c r="BT24" s="13"/>
    </row>
    <row r="25" spans="1:72" x14ac:dyDescent="0.3">
      <c r="A25" s="30" t="s">
        <v>64</v>
      </c>
      <c r="B25" s="8">
        <v>1</v>
      </c>
      <c r="C25" s="8">
        <v>23310011</v>
      </c>
      <c r="D25" s="9" t="s">
        <v>192</v>
      </c>
      <c r="E25" s="8" t="s">
        <v>193</v>
      </c>
      <c r="F25" s="9" t="s">
        <v>194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1"/>
      <c r="AC25" s="10" t="s">
        <v>157</v>
      </c>
      <c r="AD25" s="10" t="s">
        <v>114</v>
      </c>
      <c r="AE25" s="10" t="s">
        <v>115</v>
      </c>
      <c r="AF25" s="10" t="s">
        <v>116</v>
      </c>
      <c r="AG25" s="10" t="s">
        <v>117</v>
      </c>
      <c r="AH25" s="10" t="s">
        <v>118</v>
      </c>
      <c r="AI25" s="10" t="s">
        <v>119</v>
      </c>
      <c r="AJ25" s="10" t="s">
        <v>120</v>
      </c>
      <c r="AK25" s="10" t="s">
        <v>86</v>
      </c>
      <c r="AL25" s="10" t="s">
        <v>86</v>
      </c>
      <c r="AM25" s="11">
        <f>10*SUMPRODUCT(--(AC25:AL25&lt;&gt;""),--(((AC25:AL25=정답표!$C$6:$L$6)+(AC25:AL25=정답표!$C$7:$L$7))&gt;0))</f>
        <v>90</v>
      </c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1"/>
      <c r="AY25" s="10" t="s">
        <v>121</v>
      </c>
      <c r="AZ25" s="10" t="s">
        <v>122</v>
      </c>
      <c r="BA25" s="10" t="s">
        <v>123</v>
      </c>
      <c r="BB25" s="10" t="s">
        <v>124</v>
      </c>
      <c r="BC25" s="10" t="s">
        <v>125</v>
      </c>
      <c r="BD25" s="10" t="s">
        <v>126</v>
      </c>
      <c r="BE25" s="10" t="s">
        <v>127</v>
      </c>
      <c r="BF25" s="10" t="s">
        <v>86</v>
      </c>
      <c r="BG25" s="10" t="s">
        <v>86</v>
      </c>
      <c r="BH25" s="10" t="s">
        <v>102</v>
      </c>
      <c r="BI25" s="11">
        <f>10*SUMPRODUCT(--(AY25:BH25&lt;&gt;""),--(((AY25:BH25=정답표!$C$10:$L$10)+(AY25:BH25=정답표!$C$11:$L$11))&gt;0))</f>
        <v>100</v>
      </c>
      <c r="BJ25" s="11">
        <f t="shared" si="5"/>
        <v>190</v>
      </c>
      <c r="BK25" s="12">
        <f t="shared" si="6"/>
        <v>2</v>
      </c>
      <c r="BL25" s="28">
        <f>IF(QuizMatchTable[[#This Row],[분반]]=1, QuizMatchTable[[#This Row],[퀴즈합계]]/4 *0.3, QuizMatchTable[[#This Row],[퀴즈합계]]/5*0.3)</f>
        <v>14.25</v>
      </c>
      <c r="BM25" s="28">
        <v>26</v>
      </c>
      <c r="BN25" s="28">
        <v>20</v>
      </c>
      <c r="BO25" s="13"/>
      <c r="BP25" s="28">
        <f>SUM(QuizMatchTable[[#This Row],[퀴즈점수(30)]],BM25,BN25,BO25)</f>
        <v>60.25</v>
      </c>
      <c r="BQ25" s="13">
        <f t="shared" si="2"/>
        <v>13</v>
      </c>
      <c r="BR25" s="33" t="s">
        <v>655</v>
      </c>
      <c r="BS25" s="13">
        <v>6</v>
      </c>
      <c r="BT25" s="13"/>
    </row>
    <row r="26" spans="1:72" x14ac:dyDescent="0.3">
      <c r="A26" s="30" t="s">
        <v>64</v>
      </c>
      <c r="B26" s="8">
        <v>1</v>
      </c>
      <c r="C26" s="8">
        <v>24510006</v>
      </c>
      <c r="D26" s="9" t="s">
        <v>200</v>
      </c>
      <c r="E26" s="8" t="s">
        <v>201</v>
      </c>
      <c r="F26" s="9" t="s">
        <v>202</v>
      </c>
      <c r="G26" s="10" t="s">
        <v>68</v>
      </c>
      <c r="H26" s="10" t="s">
        <v>69</v>
      </c>
      <c r="I26" s="10" t="s">
        <v>70</v>
      </c>
      <c r="J26" s="10" t="s">
        <v>71</v>
      </c>
      <c r="K26" s="10" t="s">
        <v>72</v>
      </c>
      <c r="L26" s="10" t="s">
        <v>73</v>
      </c>
      <c r="M26" s="10" t="s">
        <v>135</v>
      </c>
      <c r="N26" s="10" t="s">
        <v>75</v>
      </c>
      <c r="O26" s="10" t="s">
        <v>76</v>
      </c>
      <c r="P26" s="10" t="s">
        <v>77</v>
      </c>
      <c r="Q26" s="11">
        <f>10*SUMPRODUCT(--(G26:P26&lt;&gt;""),--(((G26:P26=정답표!$C$2:$L$2)+(G26:P26=정답표!$C$3:$L$3))&gt;0))</f>
        <v>90</v>
      </c>
      <c r="R26" s="10" t="s">
        <v>78</v>
      </c>
      <c r="S26" s="10" t="s">
        <v>174</v>
      </c>
      <c r="T26" s="10" t="s">
        <v>107</v>
      </c>
      <c r="U26" s="10" t="s">
        <v>108</v>
      </c>
      <c r="V26" s="10" t="s">
        <v>109</v>
      </c>
      <c r="W26" s="10" t="s">
        <v>110</v>
      </c>
      <c r="X26" s="10" t="s">
        <v>111</v>
      </c>
      <c r="Y26" s="10" t="s">
        <v>203</v>
      </c>
      <c r="Z26" s="10" t="s">
        <v>102</v>
      </c>
      <c r="AA26" s="10" t="s">
        <v>86</v>
      </c>
      <c r="AB26" s="11">
        <f>10*SUMPRODUCT(--(R26:AA26&lt;&gt;""),--(((R26:AA26=정답표!$C$4:$L$4)+(R26:AA26=정답표!$C$5:$L$5))&gt;0))</f>
        <v>70</v>
      </c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1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1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1"/>
      <c r="BJ26" s="11">
        <f t="shared" si="5"/>
        <v>160</v>
      </c>
      <c r="BK26" s="12">
        <f t="shared" si="6"/>
        <v>2</v>
      </c>
      <c r="BL26" s="28">
        <f>IF(QuizMatchTable[[#This Row],[분반]]=1, QuizMatchTable[[#This Row],[퀴즈합계]]/4 *0.3, QuizMatchTable[[#This Row],[퀴즈합계]]/5*0.3)</f>
        <v>12</v>
      </c>
      <c r="BM26" s="28">
        <v>0</v>
      </c>
      <c r="BN26" s="28">
        <v>20</v>
      </c>
      <c r="BO26" s="13"/>
      <c r="BP26" s="28">
        <f>SUM(QuizMatchTable[[#This Row],[퀴즈점수(30)]],BM26,BN26,BO26)</f>
        <v>32</v>
      </c>
      <c r="BQ26" s="13" t="str">
        <f t="shared" si="2"/>
        <v/>
      </c>
      <c r="BR26" s="33" t="s">
        <v>657</v>
      </c>
      <c r="BS26" s="13">
        <v>18</v>
      </c>
      <c r="BT26" s="13" t="s">
        <v>904</v>
      </c>
    </row>
    <row r="27" spans="1:72" x14ac:dyDescent="0.3">
      <c r="A27" s="30" t="s">
        <v>64</v>
      </c>
      <c r="B27" s="8">
        <v>1</v>
      </c>
      <c r="C27" s="8">
        <v>24510097</v>
      </c>
      <c r="D27" s="9" t="s">
        <v>141</v>
      </c>
      <c r="E27" s="8" t="s">
        <v>142</v>
      </c>
      <c r="F27" s="9" t="s">
        <v>143</v>
      </c>
      <c r="G27" s="10" t="s">
        <v>68</v>
      </c>
      <c r="H27" s="10" t="s">
        <v>69</v>
      </c>
      <c r="I27" s="10" t="s">
        <v>70</v>
      </c>
      <c r="J27" s="10" t="s">
        <v>71</v>
      </c>
      <c r="K27" s="10" t="s">
        <v>72</v>
      </c>
      <c r="L27" s="10" t="s">
        <v>73</v>
      </c>
      <c r="M27" s="10" t="s">
        <v>74</v>
      </c>
      <c r="N27" s="10" t="s">
        <v>75</v>
      </c>
      <c r="O27" s="10" t="s">
        <v>76</v>
      </c>
      <c r="P27" s="10" t="s">
        <v>77</v>
      </c>
      <c r="Q27" s="11">
        <f>10*SUMPRODUCT(--(G27:P27&lt;&gt;""),--(((G27:P27=정답표!$C$2:$L$2)+(G27:P27=정답표!$C$3:$L$3))&gt;0))</f>
        <v>100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1"/>
      <c r="AC27" s="10" t="s">
        <v>113</v>
      </c>
      <c r="AD27" s="10" t="s">
        <v>114</v>
      </c>
      <c r="AE27" s="10" t="s">
        <v>115</v>
      </c>
      <c r="AF27" s="10" t="s">
        <v>116</v>
      </c>
      <c r="AG27" s="10" t="s">
        <v>117</v>
      </c>
      <c r="AH27" s="10" t="s">
        <v>118</v>
      </c>
      <c r="AI27" s="10" t="s">
        <v>119</v>
      </c>
      <c r="AJ27" s="10" t="s">
        <v>120</v>
      </c>
      <c r="AK27" s="10" t="s">
        <v>86</v>
      </c>
      <c r="AL27" s="10" t="s">
        <v>86</v>
      </c>
      <c r="AM27" s="11">
        <f>10*SUMPRODUCT(--(AC27:AL27&lt;&gt;""),--(((AC27:AL27=정답표!$C$6:$L$6)+(AC27:AL27=정답표!$C$7:$L$7))&gt;0))</f>
        <v>100</v>
      </c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1"/>
      <c r="AY27" s="10" t="s">
        <v>121</v>
      </c>
      <c r="AZ27" s="10" t="s">
        <v>122</v>
      </c>
      <c r="BA27" s="10" t="s">
        <v>123</v>
      </c>
      <c r="BB27" s="10" t="s">
        <v>124</v>
      </c>
      <c r="BC27" s="10" t="s">
        <v>125</v>
      </c>
      <c r="BD27" s="10" t="s">
        <v>126</v>
      </c>
      <c r="BE27" s="10" t="s">
        <v>127</v>
      </c>
      <c r="BF27" s="10" t="s">
        <v>86</v>
      </c>
      <c r="BG27" s="10" t="s">
        <v>86</v>
      </c>
      <c r="BH27" s="10" t="s">
        <v>102</v>
      </c>
      <c r="BI27" s="11">
        <f>10*SUMPRODUCT(--(AY27:BH27&lt;&gt;""),--(((AY27:BH27=정답표!$C$10:$L$10)+(AY27:BH27=정답표!$C$11:$L$11))&gt;0))</f>
        <v>100</v>
      </c>
      <c r="BJ27" s="11">
        <f t="shared" si="5"/>
        <v>300</v>
      </c>
      <c r="BK27" s="12">
        <f t="shared" si="6"/>
        <v>3</v>
      </c>
      <c r="BL27" s="28">
        <f>IF(QuizMatchTable[[#This Row],[분반]]=1, QuizMatchTable[[#This Row],[퀴즈합계]]/4 *0.3, QuizMatchTable[[#This Row],[퀴즈합계]]/5*0.3)</f>
        <v>22.5</v>
      </c>
      <c r="BM27" s="28">
        <v>22</v>
      </c>
      <c r="BN27" s="28">
        <v>20</v>
      </c>
      <c r="BO27" s="13"/>
      <c r="BP27" s="28">
        <f>SUM(QuizMatchTable[[#This Row],[퀴즈점수(30)]],BM27,BN27,BO27)</f>
        <v>64.5</v>
      </c>
      <c r="BQ27" s="13">
        <f t="shared" si="2"/>
        <v>11</v>
      </c>
      <c r="BR27" s="33" t="s">
        <v>655</v>
      </c>
      <c r="BS27" s="13">
        <v>12</v>
      </c>
      <c r="BT27" s="13"/>
    </row>
    <row r="28" spans="1:72" x14ac:dyDescent="0.3">
      <c r="A28" s="30" t="s">
        <v>64</v>
      </c>
      <c r="B28" s="8">
        <v>2</v>
      </c>
      <c r="C28" s="8">
        <v>20220130</v>
      </c>
      <c r="D28" s="9" t="s">
        <v>281</v>
      </c>
      <c r="E28" s="8" t="s">
        <v>282</v>
      </c>
      <c r="F28" s="9" t="s">
        <v>283</v>
      </c>
      <c r="G28" s="10" t="s">
        <v>68</v>
      </c>
      <c r="H28" s="10" t="s">
        <v>69</v>
      </c>
      <c r="I28" s="10" t="s">
        <v>70</v>
      </c>
      <c r="J28" s="10" t="s">
        <v>71</v>
      </c>
      <c r="K28" s="10" t="s">
        <v>72</v>
      </c>
      <c r="L28" s="10" t="s">
        <v>73</v>
      </c>
      <c r="M28" s="10" t="s">
        <v>135</v>
      </c>
      <c r="N28" s="10" t="s">
        <v>75</v>
      </c>
      <c r="O28" s="10" t="s">
        <v>76</v>
      </c>
      <c r="P28" s="10" t="s">
        <v>77</v>
      </c>
      <c r="Q28" s="11">
        <v>90</v>
      </c>
      <c r="R28" s="10" t="s">
        <v>78</v>
      </c>
      <c r="S28" s="10" t="s">
        <v>79</v>
      </c>
      <c r="T28" s="10" t="s">
        <v>80</v>
      </c>
      <c r="U28" s="10" t="s">
        <v>81</v>
      </c>
      <c r="V28" s="10" t="s">
        <v>82</v>
      </c>
      <c r="W28" s="10" t="s">
        <v>83</v>
      </c>
      <c r="X28" s="10" t="s">
        <v>84</v>
      </c>
      <c r="Y28" s="10" t="s">
        <v>85</v>
      </c>
      <c r="Z28" s="10" t="s">
        <v>86</v>
      </c>
      <c r="AA28" s="10" t="s">
        <v>86</v>
      </c>
      <c r="AB28" s="11">
        <v>100</v>
      </c>
      <c r="AC28" s="10" t="s">
        <v>284</v>
      </c>
      <c r="AD28" s="10" t="s">
        <v>88</v>
      </c>
      <c r="AE28" s="10" t="s">
        <v>89</v>
      </c>
      <c r="AF28" s="10" t="s">
        <v>90</v>
      </c>
      <c r="AG28" s="10" t="s">
        <v>91</v>
      </c>
      <c r="AH28" s="10" t="s">
        <v>92</v>
      </c>
      <c r="AI28" s="10" t="s">
        <v>93</v>
      </c>
      <c r="AJ28" s="10" t="s">
        <v>94</v>
      </c>
      <c r="AK28" s="10" t="s">
        <v>86</v>
      </c>
      <c r="AL28" s="10" t="s">
        <v>86</v>
      </c>
      <c r="AM28" s="11">
        <v>90</v>
      </c>
      <c r="AN28" s="10" t="s">
        <v>243</v>
      </c>
      <c r="AO28" s="10" t="s">
        <v>244</v>
      </c>
      <c r="AP28" s="10" t="s">
        <v>245</v>
      </c>
      <c r="AQ28" s="10" t="s">
        <v>246</v>
      </c>
      <c r="AR28" s="10" t="s">
        <v>247</v>
      </c>
      <c r="AS28" s="10" t="s">
        <v>248</v>
      </c>
      <c r="AT28" s="10" t="s">
        <v>249</v>
      </c>
      <c r="AU28" s="10" t="s">
        <v>250</v>
      </c>
      <c r="AV28" s="10" t="s">
        <v>86</v>
      </c>
      <c r="AW28" s="10" t="s">
        <v>86</v>
      </c>
      <c r="AX28" s="11">
        <v>100</v>
      </c>
      <c r="AY28" s="10" t="s">
        <v>95</v>
      </c>
      <c r="AZ28" s="10" t="s">
        <v>96</v>
      </c>
      <c r="BA28" s="10" t="s">
        <v>97</v>
      </c>
      <c r="BB28" s="10" t="s">
        <v>98</v>
      </c>
      <c r="BC28" s="10" t="s">
        <v>99</v>
      </c>
      <c r="BD28" s="10" t="s">
        <v>100</v>
      </c>
      <c r="BE28" s="10" t="s">
        <v>101</v>
      </c>
      <c r="BF28" s="10" t="s">
        <v>86</v>
      </c>
      <c r="BG28" s="10" t="s">
        <v>86</v>
      </c>
      <c r="BH28" s="10" t="s">
        <v>102</v>
      </c>
      <c r="BI28" s="11">
        <v>100</v>
      </c>
      <c r="BJ28" s="11">
        <v>480</v>
      </c>
      <c r="BK28" s="12">
        <v>5</v>
      </c>
      <c r="BL28" s="28">
        <f>IF(QuizMatchTable[[#This Row],[분반]]=1, QuizMatchTable[[#This Row],[퀴즈합계]]/4 *0.3, QuizMatchTable[[#This Row],[퀴즈합계]]/5*0.3)</f>
        <v>28.799999999999997</v>
      </c>
      <c r="BM28" s="28">
        <v>30</v>
      </c>
      <c r="BN28" s="28">
        <v>18.8</v>
      </c>
      <c r="BO28" s="13"/>
      <c r="BP28" s="28">
        <f>SUM(QuizMatchTable[[#This Row],[퀴즈점수(30)]],BM28,BN28,BO28)</f>
        <v>77.599999999999994</v>
      </c>
      <c r="BQ28" s="13">
        <f t="shared" si="2"/>
        <v>9</v>
      </c>
      <c r="BR28" s="33" t="s">
        <v>655</v>
      </c>
      <c r="BS28" s="13">
        <v>0</v>
      </c>
      <c r="BT28" s="13"/>
    </row>
    <row r="29" spans="1:72" x14ac:dyDescent="0.3">
      <c r="A29" s="30" t="s">
        <v>64</v>
      </c>
      <c r="B29" s="8">
        <v>2</v>
      </c>
      <c r="C29" s="8">
        <v>20220131</v>
      </c>
      <c r="D29" s="9" t="s">
        <v>375</v>
      </c>
      <c r="E29" s="8" t="s">
        <v>376</v>
      </c>
      <c r="F29" s="9" t="s">
        <v>377</v>
      </c>
      <c r="G29" s="10" t="s">
        <v>68</v>
      </c>
      <c r="H29" s="10" t="s">
        <v>69</v>
      </c>
      <c r="I29" s="10" t="s">
        <v>208</v>
      </c>
      <c r="J29" s="10" t="s">
        <v>71</v>
      </c>
      <c r="K29" s="10" t="s">
        <v>378</v>
      </c>
      <c r="L29" s="10" t="s">
        <v>73</v>
      </c>
      <c r="M29" s="10" t="s">
        <v>312</v>
      </c>
      <c r="N29" s="10" t="s">
        <v>75</v>
      </c>
      <c r="O29" s="10" t="s">
        <v>77</v>
      </c>
      <c r="P29" s="10" t="s">
        <v>77</v>
      </c>
      <c r="Q29" s="11">
        <f>10*SUMPRODUCT(--(G29:P29&lt;&gt;""),--(((G29:P29=정답표!$C$2:$L$2)+(G29:P29=정답표!$C$3:$L$3))&gt;0))</f>
        <v>60</v>
      </c>
      <c r="R29" s="10" t="s">
        <v>213</v>
      </c>
      <c r="S29" s="10" t="s">
        <v>379</v>
      </c>
      <c r="T29" s="10" t="s">
        <v>380</v>
      </c>
      <c r="U29" s="10" t="s">
        <v>81</v>
      </c>
      <c r="V29" s="10" t="s">
        <v>381</v>
      </c>
      <c r="W29" s="10" t="s">
        <v>83</v>
      </c>
      <c r="X29" s="10" t="s">
        <v>382</v>
      </c>
      <c r="Y29" s="10" t="s">
        <v>136</v>
      </c>
      <c r="Z29" s="10" t="s">
        <v>86</v>
      </c>
      <c r="AA29" s="10" t="s">
        <v>102</v>
      </c>
      <c r="AB29" s="11">
        <f>10*SUMPRODUCT(--(R29:AA29&lt;&gt;""),--(((R29:AA29=정답표!$C$4:$L$4)+(R29:AA29=정답표!$C$5:$L$5))&gt;0))</f>
        <v>30</v>
      </c>
      <c r="AC29" s="10" t="s">
        <v>383</v>
      </c>
      <c r="AD29" s="10" t="s">
        <v>384</v>
      </c>
      <c r="AE29" s="10" t="s">
        <v>327</v>
      </c>
      <c r="AF29" s="10" t="s">
        <v>90</v>
      </c>
      <c r="AG29" s="10" t="s">
        <v>91</v>
      </c>
      <c r="AH29" s="10" t="s">
        <v>346</v>
      </c>
      <c r="AI29" s="10" t="s">
        <v>93</v>
      </c>
      <c r="AJ29" s="10" t="s">
        <v>385</v>
      </c>
      <c r="AK29" s="10" t="s">
        <v>102</v>
      </c>
      <c r="AL29" s="10" t="s">
        <v>102</v>
      </c>
      <c r="AM29" s="11">
        <f>10*SUMPRODUCT(--(AC29:AL29&lt;&gt;""),--(((AC29:AL29=정답표!$C$6:$L$6)+(AC29:AL29=정답표!$C$7:$L$7))&gt;0))</f>
        <v>30</v>
      </c>
      <c r="AN29" s="10" t="s">
        <v>243</v>
      </c>
      <c r="AO29" s="10" t="s">
        <v>328</v>
      </c>
      <c r="AP29" s="10" t="s">
        <v>386</v>
      </c>
      <c r="AQ29" s="10" t="s">
        <v>387</v>
      </c>
      <c r="AR29" s="10" t="s">
        <v>247</v>
      </c>
      <c r="AS29" s="10" t="s">
        <v>248</v>
      </c>
      <c r="AT29" s="10" t="s">
        <v>249</v>
      </c>
      <c r="AU29" s="10" t="s">
        <v>250</v>
      </c>
      <c r="AV29" s="10" t="s">
        <v>86</v>
      </c>
      <c r="AW29" s="10" t="s">
        <v>102</v>
      </c>
      <c r="AX29" s="11">
        <f>10*SUMPRODUCT(--(AN29:AW29&lt;&gt;""),--(((AN29:AW29=정답표!$C$8:$L$8)+(AN29:AW29=정답표!$C$9:$L$9))&gt;0))</f>
        <v>60</v>
      </c>
      <c r="AY29" s="10" t="s">
        <v>388</v>
      </c>
      <c r="AZ29" s="10" t="s">
        <v>96</v>
      </c>
      <c r="BA29" s="10" t="s">
        <v>97</v>
      </c>
      <c r="BB29" s="10" t="s">
        <v>389</v>
      </c>
      <c r="BC29" s="10" t="s">
        <v>99</v>
      </c>
      <c r="BD29" s="10" t="s">
        <v>100</v>
      </c>
      <c r="BE29" s="10" t="s">
        <v>101</v>
      </c>
      <c r="BF29" s="10" t="s">
        <v>102</v>
      </c>
      <c r="BG29" s="10" t="s">
        <v>102</v>
      </c>
      <c r="BH29" s="10" t="s">
        <v>102</v>
      </c>
      <c r="BI29" s="11">
        <f>10*SUMPRODUCT(--(AY29:BH29&lt;&gt;""),--(((AY29:BH29=정답표!$C$10:$L$10)+(AY29:BH29=정답표!$C$11:$L$11))&gt;0))</f>
        <v>60</v>
      </c>
      <c r="BJ29" s="11">
        <f t="shared" ref="BJ29:BJ60" si="7">SUM(Q29,AB29,AM29,AX29,BI29)</f>
        <v>240</v>
      </c>
      <c r="BK29" s="12">
        <f t="shared" ref="BK29:BK60" si="8">COUNT(Q29,AB29,AM29,AX29,BI29)</f>
        <v>5</v>
      </c>
      <c r="BL29" s="28">
        <f>IF(QuizMatchTable[[#This Row],[분반]]=1, QuizMatchTable[[#This Row],[퀴즈합계]]/4 *0.3, QuizMatchTable[[#This Row],[퀴즈합계]]/5*0.3)</f>
        <v>14.399999999999999</v>
      </c>
      <c r="BM29" s="28">
        <v>30</v>
      </c>
      <c r="BN29" s="28">
        <v>9.6</v>
      </c>
      <c r="BO29" s="13"/>
      <c r="BP29" s="28">
        <f>SUM(QuizMatchTable[[#This Row],[퀴즈점수(30)]],BM29,BN29,BO29)</f>
        <v>54</v>
      </c>
      <c r="BQ29" s="13">
        <f t="shared" si="2"/>
        <v>32</v>
      </c>
      <c r="BR29" s="33" t="s">
        <v>657</v>
      </c>
      <c r="BS29" s="13">
        <v>0</v>
      </c>
      <c r="BT29" s="13"/>
    </row>
    <row r="30" spans="1:72" x14ac:dyDescent="0.3">
      <c r="A30" s="30" t="s">
        <v>64</v>
      </c>
      <c r="B30" s="8">
        <v>2</v>
      </c>
      <c r="C30" s="8">
        <v>20220132</v>
      </c>
      <c r="D30" s="9" t="s">
        <v>309</v>
      </c>
      <c r="E30" s="8" t="s">
        <v>310</v>
      </c>
      <c r="F30" s="9" t="s">
        <v>311</v>
      </c>
      <c r="G30" s="10" t="s">
        <v>269</v>
      </c>
      <c r="H30" s="10" t="s">
        <v>69</v>
      </c>
      <c r="I30" s="10" t="s">
        <v>70</v>
      </c>
      <c r="J30" s="10" t="s">
        <v>71</v>
      </c>
      <c r="K30" s="10" t="s">
        <v>72</v>
      </c>
      <c r="L30" s="10" t="s">
        <v>73</v>
      </c>
      <c r="M30" s="10" t="s">
        <v>312</v>
      </c>
      <c r="N30" s="10" t="s">
        <v>75</v>
      </c>
      <c r="O30" s="10" t="s">
        <v>76</v>
      </c>
      <c r="P30" s="10" t="s">
        <v>77</v>
      </c>
      <c r="Q30" s="11">
        <f>10*SUMPRODUCT(--(G30:P30&lt;&gt;""),--(((G30:P30=정답표!$C$2:$L$2)+(G30:P30=정답표!$C$3:$L$3))&gt;0))</f>
        <v>80</v>
      </c>
      <c r="R30" s="10" t="s">
        <v>78</v>
      </c>
      <c r="S30" s="10" t="s">
        <v>79</v>
      </c>
      <c r="T30" s="10" t="s">
        <v>153</v>
      </c>
      <c r="U30" s="10" t="s">
        <v>81</v>
      </c>
      <c r="V30" s="10" t="s">
        <v>82</v>
      </c>
      <c r="W30" s="10" t="s">
        <v>83</v>
      </c>
      <c r="X30" s="10" t="s">
        <v>84</v>
      </c>
      <c r="Y30" s="10" t="s">
        <v>85</v>
      </c>
      <c r="Z30" s="10" t="s">
        <v>86</v>
      </c>
      <c r="AA30" s="10" t="s">
        <v>86</v>
      </c>
      <c r="AB30" s="11">
        <f>10*SUMPRODUCT(--(R30:AA30&lt;&gt;""),--(((R30:AA30=정답표!$C$4:$L$4)+(R30:AA30=정답표!$C$5:$L$5))&gt;0))</f>
        <v>90</v>
      </c>
      <c r="AC30" s="10" t="s">
        <v>87</v>
      </c>
      <c r="AD30" s="10" t="s">
        <v>88</v>
      </c>
      <c r="AE30" s="10" t="s">
        <v>89</v>
      </c>
      <c r="AF30" s="10" t="s">
        <v>90</v>
      </c>
      <c r="AG30" s="10" t="s">
        <v>91</v>
      </c>
      <c r="AH30" s="10" t="s">
        <v>92</v>
      </c>
      <c r="AI30" s="10" t="s">
        <v>93</v>
      </c>
      <c r="AJ30" s="10" t="s">
        <v>313</v>
      </c>
      <c r="AK30" s="10" t="s">
        <v>86</v>
      </c>
      <c r="AL30" s="10" t="s">
        <v>86</v>
      </c>
      <c r="AM30" s="11">
        <f>10*SUMPRODUCT(--(AC30:AL30&lt;&gt;""),--(((AC30:AL30=정답표!$C$6:$L$6)+(AC30:AL30=정답표!$C$7:$L$7))&gt;0))</f>
        <v>90</v>
      </c>
      <c r="AN30" s="10" t="s">
        <v>243</v>
      </c>
      <c r="AO30" s="10" t="s">
        <v>244</v>
      </c>
      <c r="AP30" s="10" t="s">
        <v>245</v>
      </c>
      <c r="AQ30" s="10" t="s">
        <v>246</v>
      </c>
      <c r="AR30" s="10" t="s">
        <v>247</v>
      </c>
      <c r="AS30" s="10" t="s">
        <v>248</v>
      </c>
      <c r="AT30" s="10" t="s">
        <v>249</v>
      </c>
      <c r="AU30" s="10" t="s">
        <v>250</v>
      </c>
      <c r="AV30" s="10" t="s">
        <v>86</v>
      </c>
      <c r="AW30" s="10" t="s">
        <v>86</v>
      </c>
      <c r="AX30" s="11">
        <f>10*SUMPRODUCT(--(AN30:AW30&lt;&gt;""),--(((AN30:AW30=정답표!$C$8:$L$8)+(AN30:AW30=정답표!$C$9:$L$9))&gt;0))</f>
        <v>100</v>
      </c>
      <c r="AY30" s="10" t="s">
        <v>95</v>
      </c>
      <c r="AZ30" s="10" t="s">
        <v>96</v>
      </c>
      <c r="BA30" s="10" t="s">
        <v>97</v>
      </c>
      <c r="BB30" s="10" t="s">
        <v>98</v>
      </c>
      <c r="BC30" s="10" t="s">
        <v>99</v>
      </c>
      <c r="BD30" s="10" t="s">
        <v>100</v>
      </c>
      <c r="BE30" s="10" t="s">
        <v>101</v>
      </c>
      <c r="BF30" s="10" t="s">
        <v>86</v>
      </c>
      <c r="BG30" s="10" t="s">
        <v>86</v>
      </c>
      <c r="BH30" s="10" t="s">
        <v>102</v>
      </c>
      <c r="BI30" s="11">
        <f>10*SUMPRODUCT(--(AY30:BH30&lt;&gt;""),--(((AY30:BH30=정답표!$C$10:$L$10)+(AY30:BH30=정답표!$C$11:$L$11))&gt;0))</f>
        <v>100</v>
      </c>
      <c r="BJ30" s="11">
        <f t="shared" si="7"/>
        <v>460</v>
      </c>
      <c r="BK30" s="12">
        <f t="shared" si="8"/>
        <v>5</v>
      </c>
      <c r="BL30" s="28">
        <f>IF(QuizMatchTable[[#This Row],[분반]]=1, QuizMatchTable[[#This Row],[퀴즈합계]]/4 *0.3, QuizMatchTable[[#This Row],[퀴즈합계]]/5*0.3)</f>
        <v>27.599999999999998</v>
      </c>
      <c r="BM30" s="28">
        <v>26</v>
      </c>
      <c r="BN30" s="28">
        <v>12.8</v>
      </c>
      <c r="BO30" s="13"/>
      <c r="BP30" s="28">
        <f>SUM(QuizMatchTable[[#This Row],[퀴즈점수(30)]],BM30,BN30,BO30)</f>
        <v>66.399999999999991</v>
      </c>
      <c r="BQ30" s="13">
        <f t="shared" si="2"/>
        <v>28</v>
      </c>
      <c r="BR30" s="33" t="s">
        <v>657</v>
      </c>
      <c r="BS30" s="13">
        <v>6</v>
      </c>
      <c r="BT30" s="13"/>
    </row>
    <row r="31" spans="1:72" x14ac:dyDescent="0.3">
      <c r="A31" s="30" t="s">
        <v>64</v>
      </c>
      <c r="B31" s="8">
        <v>2</v>
      </c>
      <c r="C31" s="8">
        <v>20220133</v>
      </c>
      <c r="D31" s="9" t="s">
        <v>260</v>
      </c>
      <c r="E31" s="8" t="s">
        <v>261</v>
      </c>
      <c r="F31" s="9" t="s">
        <v>262</v>
      </c>
      <c r="G31" s="10" t="s">
        <v>68</v>
      </c>
      <c r="H31" s="10" t="s">
        <v>69</v>
      </c>
      <c r="I31" s="10" t="s">
        <v>70</v>
      </c>
      <c r="J31" s="10" t="s">
        <v>71</v>
      </c>
      <c r="K31" s="10" t="s">
        <v>72</v>
      </c>
      <c r="L31" s="10" t="s">
        <v>73</v>
      </c>
      <c r="M31" s="10" t="s">
        <v>74</v>
      </c>
      <c r="N31" s="10" t="s">
        <v>75</v>
      </c>
      <c r="O31" s="10" t="s">
        <v>77</v>
      </c>
      <c r="P31" s="10" t="s">
        <v>77</v>
      </c>
      <c r="Q31" s="11">
        <f>10*SUMPRODUCT(--(G31:P31&lt;&gt;""),--(((G31:P31=정답표!$C$2:$L$2)+(G31:P31=정답표!$C$3:$L$3))&gt;0))</f>
        <v>90</v>
      </c>
      <c r="R31" s="10" t="s">
        <v>78</v>
      </c>
      <c r="S31" s="10" t="s">
        <v>79</v>
      </c>
      <c r="T31" s="10" t="s">
        <v>80</v>
      </c>
      <c r="U31" s="10" t="s">
        <v>81</v>
      </c>
      <c r="V31" s="10" t="s">
        <v>82</v>
      </c>
      <c r="W31" s="10" t="s">
        <v>83</v>
      </c>
      <c r="X31" s="10" t="s">
        <v>84</v>
      </c>
      <c r="Y31" s="10" t="s">
        <v>85</v>
      </c>
      <c r="Z31" s="10" t="s">
        <v>86</v>
      </c>
      <c r="AA31" s="10" t="s">
        <v>86</v>
      </c>
      <c r="AB31" s="11">
        <f>10*SUMPRODUCT(--(R31:AA31&lt;&gt;""),--(((R31:AA31=정답표!$C$4:$L$4)+(R31:AA31=정답표!$C$5:$L$5))&gt;0))</f>
        <v>100</v>
      </c>
      <c r="AC31" s="10" t="s">
        <v>87</v>
      </c>
      <c r="AD31" s="10" t="s">
        <v>88</v>
      </c>
      <c r="AE31" s="10" t="s">
        <v>89</v>
      </c>
      <c r="AF31" s="10" t="s">
        <v>90</v>
      </c>
      <c r="AG31" s="10" t="s">
        <v>91</v>
      </c>
      <c r="AH31" s="10" t="s">
        <v>92</v>
      </c>
      <c r="AI31" s="10" t="s">
        <v>93</v>
      </c>
      <c r="AJ31" s="10" t="s">
        <v>94</v>
      </c>
      <c r="AK31" s="10" t="s">
        <v>86</v>
      </c>
      <c r="AL31" s="10" t="s">
        <v>86</v>
      </c>
      <c r="AM31" s="11">
        <f>10*SUMPRODUCT(--(AC31:AL31&lt;&gt;""),--(((AC31:AL31=정답표!$C$6:$L$6)+(AC31:AL31=정답표!$C$7:$L$7))&gt;0))</f>
        <v>100</v>
      </c>
      <c r="AN31" s="10" t="s">
        <v>243</v>
      </c>
      <c r="AO31" s="10" t="s">
        <v>244</v>
      </c>
      <c r="AP31" s="10" t="s">
        <v>245</v>
      </c>
      <c r="AQ31" s="10" t="s">
        <v>246</v>
      </c>
      <c r="AR31" s="10" t="s">
        <v>247</v>
      </c>
      <c r="AS31" s="10" t="s">
        <v>248</v>
      </c>
      <c r="AT31" s="10" t="s">
        <v>249</v>
      </c>
      <c r="AU31" s="10" t="s">
        <v>250</v>
      </c>
      <c r="AV31" s="10" t="s">
        <v>86</v>
      </c>
      <c r="AW31" s="10" t="s">
        <v>86</v>
      </c>
      <c r="AX31" s="11">
        <f>10*SUMPRODUCT(--(AN31:AW31&lt;&gt;""),--(((AN31:AW31=정답표!$C$8:$L$8)+(AN31:AW31=정답표!$C$9:$L$9))&gt;0))</f>
        <v>100</v>
      </c>
      <c r="AY31" s="10" t="s">
        <v>95</v>
      </c>
      <c r="AZ31" s="10" t="s">
        <v>96</v>
      </c>
      <c r="BA31" s="10" t="s">
        <v>97</v>
      </c>
      <c r="BB31" s="10" t="s">
        <v>98</v>
      </c>
      <c r="BC31" s="10" t="s">
        <v>99</v>
      </c>
      <c r="BD31" s="10" t="s">
        <v>100</v>
      </c>
      <c r="BE31" s="10" t="s">
        <v>101</v>
      </c>
      <c r="BF31" s="10" t="s">
        <v>86</v>
      </c>
      <c r="BG31" s="10" t="s">
        <v>86</v>
      </c>
      <c r="BH31" s="10" t="s">
        <v>102</v>
      </c>
      <c r="BI31" s="11">
        <f>10*SUMPRODUCT(--(AY31:BH31&lt;&gt;""),--(((AY31:BH31=정답표!$C$10:$L$10)+(AY31:BH31=정답표!$C$11:$L$11))&gt;0))</f>
        <v>100</v>
      </c>
      <c r="BJ31" s="11">
        <f t="shared" si="7"/>
        <v>490</v>
      </c>
      <c r="BK31" s="12">
        <f t="shared" si="8"/>
        <v>5</v>
      </c>
      <c r="BL31" s="28">
        <f>IF(QuizMatchTable[[#This Row],[분반]]=1, QuizMatchTable[[#This Row],[퀴즈합계]]/4 *0.3, QuizMatchTable[[#This Row],[퀴즈합계]]/5*0.3)</f>
        <v>29.4</v>
      </c>
      <c r="BM31" s="28">
        <v>30</v>
      </c>
      <c r="BN31" s="28">
        <v>19.600000000000001</v>
      </c>
      <c r="BO31" s="13"/>
      <c r="BP31" s="28">
        <f>SUM(QuizMatchTable[[#This Row],[퀴즈점수(30)]],BM31,BN31,BO31)</f>
        <v>79</v>
      </c>
      <c r="BQ31" s="13">
        <f t="shared" si="2"/>
        <v>2</v>
      </c>
      <c r="BR31" s="33" t="s">
        <v>653</v>
      </c>
      <c r="BS31" s="13">
        <v>0</v>
      </c>
      <c r="BT31" s="13"/>
    </row>
    <row r="32" spans="1:72" x14ac:dyDescent="0.3">
      <c r="A32" s="30" t="s">
        <v>64</v>
      </c>
      <c r="B32" s="8">
        <v>2</v>
      </c>
      <c r="C32" s="8">
        <v>20220134</v>
      </c>
      <c r="D32" s="9" t="s">
        <v>317</v>
      </c>
      <c r="E32" s="8" t="s">
        <v>318</v>
      </c>
      <c r="F32" s="9" t="s">
        <v>319</v>
      </c>
      <c r="G32" s="10" t="s">
        <v>68</v>
      </c>
      <c r="H32" s="10" t="s">
        <v>69</v>
      </c>
      <c r="I32" s="10" t="s">
        <v>70</v>
      </c>
      <c r="J32" s="10" t="s">
        <v>71</v>
      </c>
      <c r="K32" s="10" t="s">
        <v>72</v>
      </c>
      <c r="L32" s="10" t="s">
        <v>73</v>
      </c>
      <c r="M32" s="10" t="s">
        <v>74</v>
      </c>
      <c r="N32" s="10" t="s">
        <v>75</v>
      </c>
      <c r="O32" s="10" t="s">
        <v>76</v>
      </c>
      <c r="P32" s="10" t="s">
        <v>77</v>
      </c>
      <c r="Q32" s="11">
        <f>10*SUMPRODUCT(--(G32:P32&lt;&gt;""),--(((G32:P32=정답표!$C$2:$L$2)+(G32:P32=정답표!$C$3:$L$3))&gt;0))</f>
        <v>100</v>
      </c>
      <c r="R32" s="10" t="s">
        <v>78</v>
      </c>
      <c r="S32" s="10" t="s">
        <v>79</v>
      </c>
      <c r="T32" s="10" t="s">
        <v>153</v>
      </c>
      <c r="U32" s="10" t="s">
        <v>81</v>
      </c>
      <c r="V32" s="10" t="s">
        <v>82</v>
      </c>
      <c r="W32" s="10" t="s">
        <v>83</v>
      </c>
      <c r="X32" s="10" t="s">
        <v>84</v>
      </c>
      <c r="Y32" s="10" t="s">
        <v>85</v>
      </c>
      <c r="Z32" s="10" t="s">
        <v>86</v>
      </c>
      <c r="AA32" s="10" t="s">
        <v>86</v>
      </c>
      <c r="AB32" s="11">
        <f>10*SUMPRODUCT(--(R32:AA32&lt;&gt;""),--(((R32:AA32=정답표!$C$4:$L$4)+(R32:AA32=정답표!$C$5:$L$5))&gt;0))</f>
        <v>90</v>
      </c>
      <c r="AC32" s="10" t="s">
        <v>284</v>
      </c>
      <c r="AD32" s="10" t="s">
        <v>320</v>
      </c>
      <c r="AE32" s="10" t="s">
        <v>89</v>
      </c>
      <c r="AF32" s="10" t="s">
        <v>90</v>
      </c>
      <c r="AG32" s="10" t="s">
        <v>91</v>
      </c>
      <c r="AH32" s="10" t="s">
        <v>92</v>
      </c>
      <c r="AI32" s="10" t="s">
        <v>93</v>
      </c>
      <c r="AJ32" s="10" t="s">
        <v>94</v>
      </c>
      <c r="AK32" s="10" t="s">
        <v>86</v>
      </c>
      <c r="AL32" s="10" t="s">
        <v>86</v>
      </c>
      <c r="AM32" s="11">
        <f>10*SUMPRODUCT(--(AC32:AL32&lt;&gt;""),--(((AC32:AL32=정답표!$C$6:$L$6)+(AC32:AL32=정답표!$C$7:$L$7))&gt;0))</f>
        <v>80</v>
      </c>
      <c r="AN32" s="10" t="s">
        <v>243</v>
      </c>
      <c r="AO32" s="10" t="s">
        <v>244</v>
      </c>
      <c r="AP32" s="10" t="s">
        <v>245</v>
      </c>
      <c r="AQ32" s="10" t="s">
        <v>246</v>
      </c>
      <c r="AR32" s="10" t="s">
        <v>247</v>
      </c>
      <c r="AS32" s="10" t="s">
        <v>248</v>
      </c>
      <c r="AT32" s="10" t="s">
        <v>321</v>
      </c>
      <c r="AU32" s="10" t="s">
        <v>322</v>
      </c>
      <c r="AV32" s="10" t="s">
        <v>86</v>
      </c>
      <c r="AW32" s="10" t="s">
        <v>86</v>
      </c>
      <c r="AX32" s="11">
        <f>10*SUMPRODUCT(--(AN32:AW32&lt;&gt;""),--(((AN32:AW32=정답표!$C$8:$L$8)+(AN32:AW32=정답표!$C$9:$L$9))&gt;0))</f>
        <v>80</v>
      </c>
      <c r="AY32" s="10" t="s">
        <v>95</v>
      </c>
      <c r="AZ32" s="10" t="s">
        <v>96</v>
      </c>
      <c r="BA32" s="10" t="s">
        <v>97</v>
      </c>
      <c r="BB32" s="10" t="s">
        <v>98</v>
      </c>
      <c r="BC32" s="10" t="s">
        <v>99</v>
      </c>
      <c r="BD32" s="10" t="s">
        <v>100</v>
      </c>
      <c r="BE32" s="10" t="s">
        <v>101</v>
      </c>
      <c r="BF32" s="10" t="s">
        <v>86</v>
      </c>
      <c r="BG32" s="10" t="s">
        <v>86</v>
      </c>
      <c r="BH32" s="10" t="s">
        <v>102</v>
      </c>
      <c r="BI32" s="11">
        <f>10*SUMPRODUCT(--(AY32:BH32&lt;&gt;""),--(((AY32:BH32=정답표!$C$10:$L$10)+(AY32:BH32=정답표!$C$11:$L$11))&gt;0))</f>
        <v>100</v>
      </c>
      <c r="BJ32" s="11">
        <f t="shared" si="7"/>
        <v>450</v>
      </c>
      <c r="BK32" s="12">
        <f t="shared" si="8"/>
        <v>5</v>
      </c>
      <c r="BL32" s="28">
        <f>IF(QuizMatchTable[[#This Row],[분반]]=1, QuizMatchTable[[#This Row],[퀴즈합계]]/4 *0.3, QuizMatchTable[[#This Row],[퀴즈합계]]/5*0.3)</f>
        <v>27</v>
      </c>
      <c r="BM32" s="28">
        <v>28</v>
      </c>
      <c r="BN32" s="28">
        <v>10</v>
      </c>
      <c r="BO32" s="13"/>
      <c r="BP32" s="28">
        <f>SUM(QuizMatchTable[[#This Row],[퀴즈점수(30)]],BM32,BN32,BO32)</f>
        <v>65</v>
      </c>
      <c r="BQ32" s="13">
        <f t="shared" si="2"/>
        <v>30</v>
      </c>
      <c r="BR32" s="33" t="s">
        <v>657</v>
      </c>
      <c r="BS32" s="13">
        <v>3</v>
      </c>
      <c r="BT32" s="13"/>
    </row>
    <row r="33" spans="1:72" x14ac:dyDescent="0.3">
      <c r="A33" s="30" t="s">
        <v>64</v>
      </c>
      <c r="B33" s="8">
        <v>2</v>
      </c>
      <c r="C33" s="8">
        <v>20220139</v>
      </c>
      <c r="D33" s="9" t="s">
        <v>285</v>
      </c>
      <c r="E33" s="8" t="s">
        <v>286</v>
      </c>
      <c r="F33" s="9" t="s">
        <v>287</v>
      </c>
      <c r="G33" s="10" t="s">
        <v>68</v>
      </c>
      <c r="H33" s="10" t="s">
        <v>69</v>
      </c>
      <c r="I33" s="10" t="s">
        <v>70</v>
      </c>
      <c r="J33" s="10" t="s">
        <v>71</v>
      </c>
      <c r="K33" s="10" t="s">
        <v>72</v>
      </c>
      <c r="L33" s="10" t="s">
        <v>73</v>
      </c>
      <c r="M33" s="10" t="s">
        <v>74</v>
      </c>
      <c r="N33" s="10" t="s">
        <v>288</v>
      </c>
      <c r="O33" s="10" t="s">
        <v>76</v>
      </c>
      <c r="P33" s="10" t="s">
        <v>77</v>
      </c>
      <c r="Q33" s="11">
        <f>10*SUMPRODUCT(--(G33:P33&lt;&gt;""),--(((G33:P33=정답표!$C$2:$L$2)+(G33:P33=정답표!$C$3:$L$3))&gt;0))</f>
        <v>90</v>
      </c>
      <c r="R33" s="10" t="s">
        <v>78</v>
      </c>
      <c r="S33" s="10" t="s">
        <v>79</v>
      </c>
      <c r="T33" s="10" t="s">
        <v>80</v>
      </c>
      <c r="U33" s="10" t="s">
        <v>81</v>
      </c>
      <c r="V33" s="10" t="s">
        <v>82</v>
      </c>
      <c r="W33" s="10" t="s">
        <v>83</v>
      </c>
      <c r="X33" s="10" t="s">
        <v>84</v>
      </c>
      <c r="Y33" s="10" t="s">
        <v>85</v>
      </c>
      <c r="Z33" s="10" t="s">
        <v>86</v>
      </c>
      <c r="AA33" s="10" t="s">
        <v>86</v>
      </c>
      <c r="AB33" s="11">
        <f>10*SUMPRODUCT(--(R33:AA33&lt;&gt;""),--(((R33:AA33=정답표!$C$4:$L$4)+(R33:AA33=정답표!$C$5:$L$5))&gt;0))</f>
        <v>100</v>
      </c>
      <c r="AC33" s="10" t="s">
        <v>87</v>
      </c>
      <c r="AD33" s="10" t="s">
        <v>88</v>
      </c>
      <c r="AE33" s="10" t="s">
        <v>89</v>
      </c>
      <c r="AF33" s="10" t="s">
        <v>90</v>
      </c>
      <c r="AG33" s="10" t="s">
        <v>161</v>
      </c>
      <c r="AH33" s="10" t="s">
        <v>92</v>
      </c>
      <c r="AI33" s="10" t="s">
        <v>93</v>
      </c>
      <c r="AJ33" s="10" t="s">
        <v>94</v>
      </c>
      <c r="AK33" s="10" t="s">
        <v>86</v>
      </c>
      <c r="AL33" s="10" t="s">
        <v>86</v>
      </c>
      <c r="AM33" s="11">
        <f>10*SUMPRODUCT(--(AC33:AL33&lt;&gt;""),--(((AC33:AL33=정답표!$C$6:$L$6)+(AC33:AL33=정답표!$C$7:$L$7))&gt;0))</f>
        <v>90</v>
      </c>
      <c r="AN33" s="10" t="s">
        <v>243</v>
      </c>
      <c r="AO33" s="10" t="s">
        <v>244</v>
      </c>
      <c r="AP33" s="10" t="s">
        <v>245</v>
      </c>
      <c r="AQ33" s="10" t="s">
        <v>246</v>
      </c>
      <c r="AR33" s="10" t="s">
        <v>247</v>
      </c>
      <c r="AS33" s="10" t="s">
        <v>248</v>
      </c>
      <c r="AT33" s="10" t="s">
        <v>249</v>
      </c>
      <c r="AU33" s="10" t="s">
        <v>250</v>
      </c>
      <c r="AV33" s="10" t="s">
        <v>86</v>
      </c>
      <c r="AW33" s="10" t="s">
        <v>86</v>
      </c>
      <c r="AX33" s="11">
        <f>10*SUMPRODUCT(--(AN33:AW33&lt;&gt;""),--(((AN33:AW33=정답표!$C$8:$L$8)+(AN33:AW33=정답표!$C$9:$L$9))&gt;0))</f>
        <v>100</v>
      </c>
      <c r="AY33" s="10" t="s">
        <v>95</v>
      </c>
      <c r="AZ33" s="10" t="s">
        <v>96</v>
      </c>
      <c r="BA33" s="10" t="s">
        <v>97</v>
      </c>
      <c r="BB33" s="10" t="s">
        <v>98</v>
      </c>
      <c r="BC33" s="10" t="s">
        <v>99</v>
      </c>
      <c r="BD33" s="10" t="s">
        <v>100</v>
      </c>
      <c r="BE33" s="10" t="s">
        <v>101</v>
      </c>
      <c r="BF33" s="10" t="s">
        <v>86</v>
      </c>
      <c r="BG33" s="10" t="s">
        <v>86</v>
      </c>
      <c r="BH33" s="10" t="s">
        <v>102</v>
      </c>
      <c r="BI33" s="11">
        <f>10*SUMPRODUCT(--(AY33:BH33&lt;&gt;""),--(((AY33:BH33=정답표!$C$10:$L$10)+(AY33:BH33=정답표!$C$11:$L$11))&gt;0))</f>
        <v>100</v>
      </c>
      <c r="BJ33" s="11">
        <f t="shared" si="7"/>
        <v>480</v>
      </c>
      <c r="BK33" s="12">
        <f t="shared" si="8"/>
        <v>5</v>
      </c>
      <c r="BL33" s="28">
        <f>IF(QuizMatchTable[[#This Row],[분반]]=1, QuizMatchTable[[#This Row],[퀴즈합계]]/4 *0.3, QuizMatchTable[[#This Row],[퀴즈합계]]/5*0.3)</f>
        <v>28.799999999999997</v>
      </c>
      <c r="BM33" s="28">
        <v>30</v>
      </c>
      <c r="BN33" s="28">
        <v>18.39</v>
      </c>
      <c r="BO33" s="13"/>
      <c r="BP33" s="28">
        <f>SUM(QuizMatchTable[[#This Row],[퀴즈점수(30)]],BM33,BN33,BO33)</f>
        <v>77.19</v>
      </c>
      <c r="BQ33" s="13">
        <f t="shared" si="2"/>
        <v>12</v>
      </c>
      <c r="BR33" s="33" t="s">
        <v>655</v>
      </c>
      <c r="BS33" s="13">
        <v>0</v>
      </c>
      <c r="BT33" s="13"/>
    </row>
    <row r="34" spans="1:72" x14ac:dyDescent="0.3">
      <c r="A34" s="30" t="s">
        <v>64</v>
      </c>
      <c r="B34" s="8">
        <v>2</v>
      </c>
      <c r="C34" s="8">
        <v>20220140</v>
      </c>
      <c r="D34" s="9" t="s">
        <v>337</v>
      </c>
      <c r="E34" s="8" t="s">
        <v>338</v>
      </c>
      <c r="F34" s="9" t="s">
        <v>339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1"/>
      <c r="R34" s="10" t="s">
        <v>78</v>
      </c>
      <c r="S34" s="10" t="s">
        <v>79</v>
      </c>
      <c r="T34" s="10" t="s">
        <v>80</v>
      </c>
      <c r="U34" s="10" t="s">
        <v>81</v>
      </c>
      <c r="V34" s="10" t="s">
        <v>82</v>
      </c>
      <c r="W34" s="10" t="s">
        <v>83</v>
      </c>
      <c r="X34" s="10" t="s">
        <v>84</v>
      </c>
      <c r="Y34" s="10" t="s">
        <v>85</v>
      </c>
      <c r="Z34" s="10" t="s">
        <v>86</v>
      </c>
      <c r="AA34" s="10" t="s">
        <v>86</v>
      </c>
      <c r="AB34" s="11">
        <f>10*SUMPRODUCT(--(R34:AA34&lt;&gt;""),--(((R34:AA34=정답표!$C$4:$L$4)+(R34:AA34=정답표!$C$5:$L$5))&gt;0))</f>
        <v>100</v>
      </c>
      <c r="AC34" s="10" t="s">
        <v>87</v>
      </c>
      <c r="AD34" s="10" t="s">
        <v>88</v>
      </c>
      <c r="AE34" s="10" t="s">
        <v>89</v>
      </c>
      <c r="AF34" s="10" t="s">
        <v>90</v>
      </c>
      <c r="AG34" s="10" t="s">
        <v>91</v>
      </c>
      <c r="AH34" s="10" t="s">
        <v>92</v>
      </c>
      <c r="AI34" s="10" t="s">
        <v>93</v>
      </c>
      <c r="AJ34" s="10" t="s">
        <v>94</v>
      </c>
      <c r="AK34" s="10" t="s">
        <v>86</v>
      </c>
      <c r="AL34" s="10" t="s">
        <v>86</v>
      </c>
      <c r="AM34" s="11">
        <f>10*SUMPRODUCT(--(AC34:AL34&lt;&gt;""),--(((AC34:AL34=정답표!$C$6:$L$6)+(AC34:AL34=정답표!$C$7:$L$7))&gt;0))</f>
        <v>100</v>
      </c>
      <c r="AN34" s="10" t="s">
        <v>243</v>
      </c>
      <c r="AO34" s="10" t="s">
        <v>244</v>
      </c>
      <c r="AP34" s="10" t="s">
        <v>245</v>
      </c>
      <c r="AQ34" s="10" t="s">
        <v>246</v>
      </c>
      <c r="AR34" s="10" t="s">
        <v>247</v>
      </c>
      <c r="AS34" s="10" t="s">
        <v>248</v>
      </c>
      <c r="AT34" s="10" t="s">
        <v>249</v>
      </c>
      <c r="AU34" s="10" t="s">
        <v>250</v>
      </c>
      <c r="AV34" s="10" t="s">
        <v>86</v>
      </c>
      <c r="AW34" s="10" t="s">
        <v>86</v>
      </c>
      <c r="AX34" s="11">
        <f>10*SUMPRODUCT(--(AN34:AW34&lt;&gt;""),--(((AN34:AW34=정답표!$C$8:$L$8)+(AN34:AW34=정답표!$C$9:$L$9))&gt;0))</f>
        <v>100</v>
      </c>
      <c r="AY34" s="10" t="s">
        <v>95</v>
      </c>
      <c r="AZ34" s="10" t="s">
        <v>96</v>
      </c>
      <c r="BA34" s="10" t="s">
        <v>97</v>
      </c>
      <c r="BB34" s="10" t="s">
        <v>98</v>
      </c>
      <c r="BC34" s="10" t="s">
        <v>99</v>
      </c>
      <c r="BD34" s="10" t="s">
        <v>100</v>
      </c>
      <c r="BE34" s="10" t="s">
        <v>101</v>
      </c>
      <c r="BF34" s="10" t="s">
        <v>86</v>
      </c>
      <c r="BG34" s="10" t="s">
        <v>86</v>
      </c>
      <c r="BH34" s="10" t="s">
        <v>102</v>
      </c>
      <c r="BI34" s="11">
        <f>10*SUMPRODUCT(--(AY34:BH34&lt;&gt;""),--(((AY34:BH34=정답표!$C$10:$L$10)+(AY34:BH34=정답표!$C$11:$L$11))&gt;0))</f>
        <v>100</v>
      </c>
      <c r="BJ34" s="11">
        <f t="shared" si="7"/>
        <v>400</v>
      </c>
      <c r="BK34" s="12">
        <f t="shared" si="8"/>
        <v>4</v>
      </c>
      <c r="BL34" s="28">
        <f>IF(QuizMatchTable[[#This Row],[분반]]=1, QuizMatchTable[[#This Row],[퀴즈합계]]/4 *0.3, QuizMatchTable[[#This Row],[퀴즈합계]]/5*0.3)</f>
        <v>24</v>
      </c>
      <c r="BM34" s="28">
        <v>28</v>
      </c>
      <c r="BN34" s="28">
        <v>18.39</v>
      </c>
      <c r="BO34" s="13"/>
      <c r="BP34" s="28">
        <f>SUM(QuizMatchTable[[#This Row],[퀴즈점수(30)]],BM34,BN34,BO34)</f>
        <v>70.39</v>
      </c>
      <c r="BQ34" s="13">
        <f t="shared" ref="BQ34:BQ65" si="9">IF(OR(BP34="",BP34=0,BT34="결석초과"),"",COUNTIFS($B$2:$B$109,B34,$BP$2:$BP$109,"&gt;"&amp;BP34)+1)</f>
        <v>22</v>
      </c>
      <c r="BR34" s="33" t="s">
        <v>657</v>
      </c>
      <c r="BS34" s="13">
        <v>3</v>
      </c>
      <c r="BT34" s="13"/>
    </row>
    <row r="35" spans="1:72" x14ac:dyDescent="0.3">
      <c r="A35" s="30" t="s">
        <v>64</v>
      </c>
      <c r="B35" s="8">
        <v>2</v>
      </c>
      <c r="C35" s="8">
        <v>20220141</v>
      </c>
      <c r="D35" s="9" t="s">
        <v>263</v>
      </c>
      <c r="E35" s="8" t="s">
        <v>264</v>
      </c>
      <c r="F35" s="9" t="s">
        <v>265</v>
      </c>
      <c r="G35" s="10" t="s">
        <v>68</v>
      </c>
      <c r="H35" s="10" t="s">
        <v>69</v>
      </c>
      <c r="I35" s="10" t="s">
        <v>70</v>
      </c>
      <c r="J35" s="10" t="s">
        <v>71</v>
      </c>
      <c r="K35" s="10" t="s">
        <v>72</v>
      </c>
      <c r="L35" s="10" t="s">
        <v>73</v>
      </c>
      <c r="M35" s="10" t="s">
        <v>135</v>
      </c>
      <c r="N35" s="10" t="s">
        <v>75</v>
      </c>
      <c r="O35" s="10" t="s">
        <v>76</v>
      </c>
      <c r="P35" s="10" t="s">
        <v>77</v>
      </c>
      <c r="Q35" s="11">
        <f>10*SUMPRODUCT(--(G35:P35&lt;&gt;""),--(((G35:P35=정답표!$C$2:$L$2)+(G35:P35=정답표!$C$3:$L$3))&gt;0))</f>
        <v>90</v>
      </c>
      <c r="R35" s="10" t="s">
        <v>78</v>
      </c>
      <c r="S35" s="10" t="s">
        <v>79</v>
      </c>
      <c r="T35" s="10" t="s">
        <v>80</v>
      </c>
      <c r="U35" s="10" t="s">
        <v>81</v>
      </c>
      <c r="V35" s="10" t="s">
        <v>82</v>
      </c>
      <c r="W35" s="10" t="s">
        <v>83</v>
      </c>
      <c r="X35" s="10" t="s">
        <v>84</v>
      </c>
      <c r="Y35" s="10" t="s">
        <v>85</v>
      </c>
      <c r="Z35" s="10" t="s">
        <v>86</v>
      </c>
      <c r="AA35" s="10" t="s">
        <v>86</v>
      </c>
      <c r="AB35" s="11">
        <f>10*SUMPRODUCT(--(R35:AA35&lt;&gt;""),--(((R35:AA35=정답표!$C$4:$L$4)+(R35:AA35=정답표!$C$5:$L$5))&gt;0))</f>
        <v>100</v>
      </c>
      <c r="AC35" s="10" t="s">
        <v>87</v>
      </c>
      <c r="AD35" s="10" t="s">
        <v>88</v>
      </c>
      <c r="AE35" s="10" t="s">
        <v>89</v>
      </c>
      <c r="AF35" s="10" t="s">
        <v>90</v>
      </c>
      <c r="AG35" s="10" t="s">
        <v>91</v>
      </c>
      <c r="AH35" s="10" t="s">
        <v>92</v>
      </c>
      <c r="AI35" s="10" t="s">
        <v>93</v>
      </c>
      <c r="AJ35" s="10" t="s">
        <v>94</v>
      </c>
      <c r="AK35" s="10" t="s">
        <v>86</v>
      </c>
      <c r="AL35" s="10" t="s">
        <v>86</v>
      </c>
      <c r="AM35" s="11">
        <f>10*SUMPRODUCT(--(AC35:AL35&lt;&gt;""),--(((AC35:AL35=정답표!$C$6:$L$6)+(AC35:AL35=정답표!$C$7:$L$7))&gt;0))</f>
        <v>100</v>
      </c>
      <c r="AN35" s="10" t="s">
        <v>243</v>
      </c>
      <c r="AO35" s="10" t="s">
        <v>244</v>
      </c>
      <c r="AP35" s="10" t="s">
        <v>245</v>
      </c>
      <c r="AQ35" s="10" t="s">
        <v>246</v>
      </c>
      <c r="AR35" s="10" t="s">
        <v>247</v>
      </c>
      <c r="AS35" s="10" t="s">
        <v>248</v>
      </c>
      <c r="AT35" s="10" t="s">
        <v>249</v>
      </c>
      <c r="AU35" s="10" t="s">
        <v>250</v>
      </c>
      <c r="AV35" s="10" t="s">
        <v>86</v>
      </c>
      <c r="AW35" s="10" t="s">
        <v>86</v>
      </c>
      <c r="AX35" s="11">
        <f>10*SUMPRODUCT(--(AN35:AW35&lt;&gt;""),--(((AN35:AW35=정답표!$C$8:$L$8)+(AN35:AW35=정답표!$C$9:$L$9))&gt;0))</f>
        <v>100</v>
      </c>
      <c r="AY35" s="10" t="s">
        <v>95</v>
      </c>
      <c r="AZ35" s="10" t="s">
        <v>96</v>
      </c>
      <c r="BA35" s="10" t="s">
        <v>97</v>
      </c>
      <c r="BB35" s="10" t="s">
        <v>98</v>
      </c>
      <c r="BC35" s="10" t="s">
        <v>99</v>
      </c>
      <c r="BD35" s="10" t="s">
        <v>100</v>
      </c>
      <c r="BE35" s="10" t="s">
        <v>101</v>
      </c>
      <c r="BF35" s="10" t="s">
        <v>86</v>
      </c>
      <c r="BG35" s="10" t="s">
        <v>86</v>
      </c>
      <c r="BH35" s="10" t="s">
        <v>102</v>
      </c>
      <c r="BI35" s="11">
        <f>10*SUMPRODUCT(--(AY35:BH35&lt;&gt;""),--(((AY35:BH35=정답표!$C$10:$L$10)+(AY35:BH35=정답표!$C$11:$L$11))&gt;0))</f>
        <v>100</v>
      </c>
      <c r="BJ35" s="11">
        <f t="shared" si="7"/>
        <v>490</v>
      </c>
      <c r="BK35" s="12">
        <f t="shared" si="8"/>
        <v>5</v>
      </c>
      <c r="BL35" s="28">
        <f>IF(QuizMatchTable[[#This Row],[분반]]=1, QuizMatchTable[[#This Row],[퀴즈합계]]/4 *0.3, QuizMatchTable[[#This Row],[퀴즈합계]]/5*0.3)</f>
        <v>29.4</v>
      </c>
      <c r="BM35" s="28">
        <v>28</v>
      </c>
      <c r="BN35" s="28">
        <v>18.8</v>
      </c>
      <c r="BO35" s="13"/>
      <c r="BP35" s="28">
        <f>SUM(QuizMatchTable[[#This Row],[퀴즈점수(30)]],BM35,BN35,BO35)</f>
        <v>76.2</v>
      </c>
      <c r="BQ35" s="13">
        <f t="shared" si="9"/>
        <v>14</v>
      </c>
      <c r="BR35" s="33" t="s">
        <v>655</v>
      </c>
      <c r="BS35" s="13">
        <v>3</v>
      </c>
      <c r="BT35" s="13"/>
    </row>
    <row r="36" spans="1:72" x14ac:dyDescent="0.3">
      <c r="A36" s="30" t="s">
        <v>64</v>
      </c>
      <c r="B36" s="8">
        <v>2</v>
      </c>
      <c r="C36" s="8">
        <v>20220142</v>
      </c>
      <c r="D36" s="9" t="s">
        <v>303</v>
      </c>
      <c r="E36" s="8" t="s">
        <v>304</v>
      </c>
      <c r="F36" s="9" t="s">
        <v>305</v>
      </c>
      <c r="G36" s="10" t="s">
        <v>68</v>
      </c>
      <c r="H36" s="10" t="s">
        <v>69</v>
      </c>
      <c r="I36" s="10" t="s">
        <v>70</v>
      </c>
      <c r="J36" s="10" t="s">
        <v>71</v>
      </c>
      <c r="K36" s="10" t="s">
        <v>72</v>
      </c>
      <c r="L36" s="10" t="s">
        <v>73</v>
      </c>
      <c r="M36" s="10" t="s">
        <v>135</v>
      </c>
      <c r="N36" s="10" t="s">
        <v>75</v>
      </c>
      <c r="O36" s="10" t="s">
        <v>76</v>
      </c>
      <c r="P36" s="10" t="s">
        <v>77</v>
      </c>
      <c r="Q36" s="11">
        <f>10*SUMPRODUCT(--(G36:P36&lt;&gt;""),--(((G36:P36=정답표!$C$2:$L$2)+(G36:P36=정답표!$C$3:$L$3))&gt;0))</f>
        <v>90</v>
      </c>
      <c r="R36" s="10" t="s">
        <v>78</v>
      </c>
      <c r="S36" s="10" t="s">
        <v>79</v>
      </c>
      <c r="T36" s="10" t="s">
        <v>80</v>
      </c>
      <c r="U36" s="10" t="s">
        <v>81</v>
      </c>
      <c r="V36" s="10" t="s">
        <v>82</v>
      </c>
      <c r="W36" s="10" t="s">
        <v>83</v>
      </c>
      <c r="X36" s="10" t="s">
        <v>84</v>
      </c>
      <c r="Y36" s="10" t="s">
        <v>85</v>
      </c>
      <c r="Z36" s="10" t="s">
        <v>102</v>
      </c>
      <c r="AA36" s="10" t="s">
        <v>102</v>
      </c>
      <c r="AB36" s="11">
        <f>10*SUMPRODUCT(--(R36:AA36&lt;&gt;""),--(((R36:AA36=정답표!$C$4:$L$4)+(R36:AA36=정답표!$C$5:$L$5))&gt;0))</f>
        <v>80</v>
      </c>
      <c r="AC36" s="10" t="s">
        <v>87</v>
      </c>
      <c r="AD36" s="10" t="s">
        <v>88</v>
      </c>
      <c r="AE36" s="10" t="s">
        <v>89</v>
      </c>
      <c r="AF36" s="10" t="s">
        <v>90</v>
      </c>
      <c r="AG36" s="10" t="s">
        <v>91</v>
      </c>
      <c r="AH36" s="10" t="s">
        <v>92</v>
      </c>
      <c r="AI36" s="10" t="s">
        <v>93</v>
      </c>
      <c r="AJ36" s="10" t="s">
        <v>94</v>
      </c>
      <c r="AK36" s="10" t="s">
        <v>86</v>
      </c>
      <c r="AL36" s="10" t="s">
        <v>86</v>
      </c>
      <c r="AM36" s="11">
        <f>10*SUMPRODUCT(--(AC36:AL36&lt;&gt;""),--(((AC36:AL36=정답표!$C$6:$L$6)+(AC36:AL36=정답표!$C$7:$L$7))&gt;0))</f>
        <v>100</v>
      </c>
      <c r="AN36" s="10" t="s">
        <v>243</v>
      </c>
      <c r="AO36" s="10" t="s">
        <v>244</v>
      </c>
      <c r="AP36" s="10" t="s">
        <v>245</v>
      </c>
      <c r="AQ36" s="10" t="s">
        <v>246</v>
      </c>
      <c r="AR36" s="10" t="s">
        <v>247</v>
      </c>
      <c r="AS36" s="10" t="s">
        <v>248</v>
      </c>
      <c r="AT36" s="10" t="s">
        <v>249</v>
      </c>
      <c r="AU36" s="10" t="s">
        <v>250</v>
      </c>
      <c r="AV36" s="10" t="s">
        <v>86</v>
      </c>
      <c r="AW36" s="10" t="s">
        <v>86</v>
      </c>
      <c r="AX36" s="11">
        <f>10*SUMPRODUCT(--(AN36:AW36&lt;&gt;""),--(((AN36:AW36=정답표!$C$8:$L$8)+(AN36:AW36=정답표!$C$9:$L$9))&gt;0))</f>
        <v>100</v>
      </c>
      <c r="AY36" s="10" t="s">
        <v>95</v>
      </c>
      <c r="AZ36" s="10" t="s">
        <v>96</v>
      </c>
      <c r="BA36" s="10" t="s">
        <v>97</v>
      </c>
      <c r="BB36" s="10" t="s">
        <v>98</v>
      </c>
      <c r="BC36" s="10" t="s">
        <v>99</v>
      </c>
      <c r="BD36" s="10" t="s">
        <v>100</v>
      </c>
      <c r="BE36" s="10" t="s">
        <v>101</v>
      </c>
      <c r="BF36" s="10" t="s">
        <v>86</v>
      </c>
      <c r="BG36" s="10" t="s">
        <v>86</v>
      </c>
      <c r="BH36" s="10" t="s">
        <v>102</v>
      </c>
      <c r="BI36" s="11">
        <f>10*SUMPRODUCT(--(AY36:BH36&lt;&gt;""),--(((AY36:BH36=정답표!$C$10:$L$10)+(AY36:BH36=정답표!$C$11:$L$11))&gt;0))</f>
        <v>100</v>
      </c>
      <c r="BJ36" s="11">
        <f t="shared" si="7"/>
        <v>470</v>
      </c>
      <c r="BK36" s="12">
        <f t="shared" si="8"/>
        <v>5</v>
      </c>
      <c r="BL36" s="28">
        <f>IF(QuizMatchTable[[#This Row],[분반]]=1, QuizMatchTable[[#This Row],[퀴즈합계]]/4 *0.3, QuizMatchTable[[#This Row],[퀴즈합계]]/5*0.3)</f>
        <v>28.2</v>
      </c>
      <c r="BM36" s="28">
        <v>30</v>
      </c>
      <c r="BN36" s="28">
        <v>20</v>
      </c>
      <c r="BO36" s="13"/>
      <c r="BP36" s="28">
        <f>SUM(QuizMatchTable[[#This Row],[퀴즈점수(30)]],BM36,BN36,BO36)</f>
        <v>78.2</v>
      </c>
      <c r="BQ36" s="13">
        <f t="shared" si="9"/>
        <v>6</v>
      </c>
      <c r="BR36" s="33" t="s">
        <v>654</v>
      </c>
      <c r="BS36" s="13">
        <v>0</v>
      </c>
      <c r="BT36" s="13"/>
    </row>
    <row r="37" spans="1:72" x14ac:dyDescent="0.3">
      <c r="A37" s="30" t="s">
        <v>64</v>
      </c>
      <c r="B37" s="8">
        <v>2</v>
      </c>
      <c r="C37" s="8">
        <v>20220143</v>
      </c>
      <c r="D37" s="9" t="s">
        <v>240</v>
      </c>
      <c r="E37" s="8" t="s">
        <v>241</v>
      </c>
      <c r="F37" s="9" t="s">
        <v>242</v>
      </c>
      <c r="G37" s="10" t="s">
        <v>68</v>
      </c>
      <c r="H37" s="10" t="s">
        <v>69</v>
      </c>
      <c r="I37" s="10" t="s">
        <v>70</v>
      </c>
      <c r="J37" s="10" t="s">
        <v>71</v>
      </c>
      <c r="K37" s="10" t="s">
        <v>72</v>
      </c>
      <c r="L37" s="10" t="s">
        <v>73</v>
      </c>
      <c r="M37" s="10" t="s">
        <v>74</v>
      </c>
      <c r="N37" s="10" t="s">
        <v>75</v>
      </c>
      <c r="O37" s="10" t="s">
        <v>76</v>
      </c>
      <c r="P37" s="10" t="s">
        <v>77</v>
      </c>
      <c r="Q37" s="11">
        <f>10*SUMPRODUCT(--(G37:P37&lt;&gt;""),--(((G37:P37=정답표!$C$2:$L$2)+(G37:P37=정답표!$C$3:$L$3))&gt;0))</f>
        <v>100</v>
      </c>
      <c r="R37" s="10" t="s">
        <v>78</v>
      </c>
      <c r="S37" s="10" t="s">
        <v>79</v>
      </c>
      <c r="T37" s="10" t="s">
        <v>80</v>
      </c>
      <c r="U37" s="10" t="s">
        <v>81</v>
      </c>
      <c r="V37" s="10" t="s">
        <v>82</v>
      </c>
      <c r="W37" s="10" t="s">
        <v>83</v>
      </c>
      <c r="X37" s="10" t="s">
        <v>84</v>
      </c>
      <c r="Y37" s="10" t="s">
        <v>85</v>
      </c>
      <c r="Z37" s="10" t="s">
        <v>86</v>
      </c>
      <c r="AA37" s="10" t="s">
        <v>86</v>
      </c>
      <c r="AB37" s="11">
        <f>10*SUMPRODUCT(--(R37:AA37&lt;&gt;""),--(((R37:AA37=정답표!$C$4:$L$4)+(R37:AA37=정답표!$C$5:$L$5))&gt;0))</f>
        <v>100</v>
      </c>
      <c r="AC37" s="10" t="s">
        <v>87</v>
      </c>
      <c r="AD37" s="10" t="s">
        <v>88</v>
      </c>
      <c r="AE37" s="10" t="s">
        <v>89</v>
      </c>
      <c r="AF37" s="10" t="s">
        <v>90</v>
      </c>
      <c r="AG37" s="10" t="s">
        <v>91</v>
      </c>
      <c r="AH37" s="10" t="s">
        <v>92</v>
      </c>
      <c r="AI37" s="10" t="s">
        <v>93</v>
      </c>
      <c r="AJ37" s="10" t="s">
        <v>94</v>
      </c>
      <c r="AK37" s="10" t="s">
        <v>86</v>
      </c>
      <c r="AL37" s="10" t="s">
        <v>86</v>
      </c>
      <c r="AM37" s="11">
        <f>10*SUMPRODUCT(--(AC37:AL37&lt;&gt;""),--(((AC37:AL37=정답표!$C$6:$L$6)+(AC37:AL37=정답표!$C$7:$L$7))&gt;0))</f>
        <v>100</v>
      </c>
      <c r="AN37" s="10" t="s">
        <v>243</v>
      </c>
      <c r="AO37" s="10" t="s">
        <v>244</v>
      </c>
      <c r="AP37" s="10" t="s">
        <v>245</v>
      </c>
      <c r="AQ37" s="10" t="s">
        <v>246</v>
      </c>
      <c r="AR37" s="10" t="s">
        <v>247</v>
      </c>
      <c r="AS37" s="10" t="s">
        <v>248</v>
      </c>
      <c r="AT37" s="10" t="s">
        <v>249</v>
      </c>
      <c r="AU37" s="10" t="s">
        <v>250</v>
      </c>
      <c r="AV37" s="10" t="s">
        <v>86</v>
      </c>
      <c r="AW37" s="10" t="s">
        <v>86</v>
      </c>
      <c r="AX37" s="11">
        <f>10*SUMPRODUCT(--(AN37:AW37&lt;&gt;""),--(((AN37:AW37=정답표!$C$8:$L$8)+(AN37:AW37=정답표!$C$9:$L$9))&gt;0))</f>
        <v>100</v>
      </c>
      <c r="AY37" s="10" t="s">
        <v>95</v>
      </c>
      <c r="AZ37" s="10" t="s">
        <v>96</v>
      </c>
      <c r="BA37" s="10" t="s">
        <v>97</v>
      </c>
      <c r="BB37" s="10" t="s">
        <v>98</v>
      </c>
      <c r="BC37" s="10" t="s">
        <v>99</v>
      </c>
      <c r="BD37" s="10" t="s">
        <v>100</v>
      </c>
      <c r="BE37" s="10" t="s">
        <v>101</v>
      </c>
      <c r="BF37" s="10" t="s">
        <v>86</v>
      </c>
      <c r="BG37" s="10" t="s">
        <v>86</v>
      </c>
      <c r="BH37" s="10" t="s">
        <v>102</v>
      </c>
      <c r="BI37" s="11">
        <f>10*SUMPRODUCT(--(AY37:BH37&lt;&gt;""),--(((AY37:BH37=정답표!$C$10:$L$10)+(AY37:BH37=정답표!$C$11:$L$11))&gt;0))</f>
        <v>100</v>
      </c>
      <c r="BJ37" s="11">
        <f t="shared" si="7"/>
        <v>500</v>
      </c>
      <c r="BK37" s="12">
        <f t="shared" si="8"/>
        <v>5</v>
      </c>
      <c r="BL37" s="28">
        <f>IF(QuizMatchTable[[#This Row],[분반]]=1, QuizMatchTable[[#This Row],[퀴즈합계]]/4 *0.3, QuizMatchTable[[#This Row],[퀴즈합계]]/5*0.3)</f>
        <v>30</v>
      </c>
      <c r="BM37" s="28">
        <v>30</v>
      </c>
      <c r="BN37" s="28">
        <v>18.39</v>
      </c>
      <c r="BO37" s="13"/>
      <c r="BP37" s="28">
        <f>SUM(QuizMatchTable[[#This Row],[퀴즈점수(30)]],BM37,BN37,BO37)</f>
        <v>78.39</v>
      </c>
      <c r="BQ37" s="13">
        <f t="shared" si="9"/>
        <v>5</v>
      </c>
      <c r="BR37" s="33" t="s">
        <v>653</v>
      </c>
      <c r="BS37" s="13">
        <v>0</v>
      </c>
      <c r="BT37" s="13"/>
    </row>
    <row r="38" spans="1:72" x14ac:dyDescent="0.3">
      <c r="A38" s="30" t="s">
        <v>64</v>
      </c>
      <c r="B38" s="8">
        <v>2</v>
      </c>
      <c r="C38" s="8">
        <v>20220144</v>
      </c>
      <c r="D38" s="9" t="s">
        <v>329</v>
      </c>
      <c r="E38" s="8" t="s">
        <v>330</v>
      </c>
      <c r="F38" s="9" t="s">
        <v>331</v>
      </c>
      <c r="G38" s="10" t="s">
        <v>68</v>
      </c>
      <c r="H38" s="10" t="s">
        <v>69</v>
      </c>
      <c r="I38" s="10" t="s">
        <v>70</v>
      </c>
      <c r="J38" s="10" t="s">
        <v>71</v>
      </c>
      <c r="K38" s="10" t="s">
        <v>72</v>
      </c>
      <c r="L38" s="10" t="s">
        <v>73</v>
      </c>
      <c r="M38" s="10" t="s">
        <v>74</v>
      </c>
      <c r="N38" s="10" t="s">
        <v>75</v>
      </c>
      <c r="O38" s="10" t="s">
        <v>76</v>
      </c>
      <c r="P38" s="10" t="s">
        <v>77</v>
      </c>
      <c r="Q38" s="11">
        <f>10*SUMPRODUCT(--(G38:P38&lt;&gt;""),--(((G38:P38=정답표!$C$2:$L$2)+(G38:P38=정답표!$C$3:$L$3))&gt;0))</f>
        <v>100</v>
      </c>
      <c r="R38" s="10" t="s">
        <v>78</v>
      </c>
      <c r="S38" s="10" t="s">
        <v>79</v>
      </c>
      <c r="T38" s="10" t="s">
        <v>80</v>
      </c>
      <c r="U38" s="10" t="s">
        <v>81</v>
      </c>
      <c r="V38" s="10" t="s">
        <v>82</v>
      </c>
      <c r="W38" s="10" t="s">
        <v>332</v>
      </c>
      <c r="X38" s="10" t="s">
        <v>333</v>
      </c>
      <c r="Y38" s="10" t="s">
        <v>136</v>
      </c>
      <c r="Z38" s="10" t="s">
        <v>86</v>
      </c>
      <c r="AA38" s="10" t="s">
        <v>86</v>
      </c>
      <c r="AB38" s="11">
        <f>10*SUMPRODUCT(--(R38:AA38&lt;&gt;""),--(((R38:AA38=정답표!$C$4:$L$4)+(R38:AA38=정답표!$C$5:$L$5))&gt;0))</f>
        <v>70</v>
      </c>
      <c r="AC38" s="10" t="s">
        <v>87</v>
      </c>
      <c r="AD38" s="10" t="s">
        <v>88</v>
      </c>
      <c r="AE38" s="10" t="s">
        <v>89</v>
      </c>
      <c r="AF38" s="10" t="s">
        <v>334</v>
      </c>
      <c r="AG38" s="10" t="s">
        <v>161</v>
      </c>
      <c r="AH38" s="10" t="s">
        <v>92</v>
      </c>
      <c r="AI38" s="10" t="s">
        <v>93</v>
      </c>
      <c r="AJ38" s="10" t="s">
        <v>94</v>
      </c>
      <c r="AK38" s="10" t="s">
        <v>86</v>
      </c>
      <c r="AL38" s="10" t="s">
        <v>86</v>
      </c>
      <c r="AM38" s="11">
        <f>10*SUMPRODUCT(--(AC38:AL38&lt;&gt;""),--(((AC38:AL38=정답표!$C$6:$L$6)+(AC38:AL38=정답표!$C$7:$L$7))&gt;0))</f>
        <v>80</v>
      </c>
      <c r="AN38" s="10" t="s">
        <v>243</v>
      </c>
      <c r="AO38" s="10" t="s">
        <v>244</v>
      </c>
      <c r="AP38" s="10" t="s">
        <v>245</v>
      </c>
      <c r="AQ38" s="10" t="s">
        <v>246</v>
      </c>
      <c r="AR38" s="10" t="s">
        <v>247</v>
      </c>
      <c r="AS38" s="10" t="s">
        <v>248</v>
      </c>
      <c r="AT38" s="10" t="s">
        <v>335</v>
      </c>
      <c r="AU38" s="10" t="s">
        <v>322</v>
      </c>
      <c r="AV38" s="10" t="s">
        <v>86</v>
      </c>
      <c r="AW38" s="10" t="s">
        <v>86</v>
      </c>
      <c r="AX38" s="11">
        <f>10*SUMPRODUCT(--(AN38:AW38&lt;&gt;""),--(((AN38:AW38=정답표!$C$8:$L$8)+(AN38:AW38=정답표!$C$9:$L$9))&gt;0))</f>
        <v>80</v>
      </c>
      <c r="AY38" s="10" t="s">
        <v>95</v>
      </c>
      <c r="AZ38" s="10" t="s">
        <v>96</v>
      </c>
      <c r="BA38" s="10" t="s">
        <v>97</v>
      </c>
      <c r="BB38" s="10" t="s">
        <v>98</v>
      </c>
      <c r="BC38" s="10" t="s">
        <v>99</v>
      </c>
      <c r="BD38" s="10" t="s">
        <v>100</v>
      </c>
      <c r="BE38" s="10" t="s">
        <v>336</v>
      </c>
      <c r="BF38" s="10" t="s">
        <v>86</v>
      </c>
      <c r="BG38" s="10" t="s">
        <v>86</v>
      </c>
      <c r="BH38" s="10" t="s">
        <v>102</v>
      </c>
      <c r="BI38" s="11">
        <f>10*SUMPRODUCT(--(AY38:BH38&lt;&gt;""),--(((AY38:BH38=정답표!$C$10:$L$10)+(AY38:BH38=정답표!$C$11:$L$11))&gt;0))</f>
        <v>90</v>
      </c>
      <c r="BJ38" s="11">
        <f t="shared" si="7"/>
        <v>420</v>
      </c>
      <c r="BK38" s="12">
        <f t="shared" si="8"/>
        <v>5</v>
      </c>
      <c r="BL38" s="28">
        <f>IF(QuizMatchTable[[#This Row],[분반]]=1, QuizMatchTable[[#This Row],[퀴즈합계]]/4 *0.3, QuizMatchTable[[#This Row],[퀴즈합계]]/5*0.3)</f>
        <v>25.2</v>
      </c>
      <c r="BM38" s="28">
        <v>30</v>
      </c>
      <c r="BN38" s="28">
        <v>18.8</v>
      </c>
      <c r="BO38" s="13"/>
      <c r="BP38" s="28">
        <f>SUM(QuizMatchTable[[#This Row],[퀴즈점수(30)]],BM38,BN38,BO38)</f>
        <v>74</v>
      </c>
      <c r="BQ38" s="13">
        <f t="shared" si="9"/>
        <v>17</v>
      </c>
      <c r="BR38" s="33" t="s">
        <v>656</v>
      </c>
      <c r="BS38" s="13">
        <v>0</v>
      </c>
      <c r="BT38" s="13"/>
    </row>
    <row r="39" spans="1:72" x14ac:dyDescent="0.3">
      <c r="A39" s="30" t="s">
        <v>64</v>
      </c>
      <c r="B39" s="8">
        <v>2</v>
      </c>
      <c r="C39" s="8">
        <v>20220145</v>
      </c>
      <c r="D39" s="9" t="s">
        <v>289</v>
      </c>
      <c r="E39" s="8" t="s">
        <v>290</v>
      </c>
      <c r="F39" s="9" t="s">
        <v>291</v>
      </c>
      <c r="G39" s="10" t="s">
        <v>269</v>
      </c>
      <c r="H39" s="10" t="s">
        <v>69</v>
      </c>
      <c r="I39" s="10" t="s">
        <v>70</v>
      </c>
      <c r="J39" s="10" t="s">
        <v>71</v>
      </c>
      <c r="K39" s="10" t="s">
        <v>72</v>
      </c>
      <c r="L39" s="10" t="s">
        <v>73</v>
      </c>
      <c r="M39" s="10" t="s">
        <v>74</v>
      </c>
      <c r="N39" s="10" t="s">
        <v>75</v>
      </c>
      <c r="O39" s="10" t="s">
        <v>76</v>
      </c>
      <c r="P39" s="10" t="s">
        <v>77</v>
      </c>
      <c r="Q39" s="11">
        <f>10*SUMPRODUCT(--(G39:P39&lt;&gt;""),--(((G39:P39=정답표!$C$2:$L$2)+(G39:P39=정답표!$C$3:$L$3))&gt;0))</f>
        <v>90</v>
      </c>
      <c r="R39" s="10" t="s">
        <v>78</v>
      </c>
      <c r="S39" s="10" t="s">
        <v>79</v>
      </c>
      <c r="T39" s="10" t="s">
        <v>80</v>
      </c>
      <c r="U39" s="10" t="s">
        <v>81</v>
      </c>
      <c r="V39" s="10" t="s">
        <v>82</v>
      </c>
      <c r="W39" s="10" t="s">
        <v>83</v>
      </c>
      <c r="X39" s="10" t="s">
        <v>84</v>
      </c>
      <c r="Y39" s="10" t="s">
        <v>85</v>
      </c>
      <c r="Z39" s="10" t="s">
        <v>86</v>
      </c>
      <c r="AA39" s="10" t="s">
        <v>86</v>
      </c>
      <c r="AB39" s="11">
        <f>10*SUMPRODUCT(--(R39:AA39&lt;&gt;""),--(((R39:AA39=정답표!$C$4:$L$4)+(R39:AA39=정답표!$C$5:$L$5))&gt;0))</f>
        <v>100</v>
      </c>
      <c r="AC39" s="10" t="s">
        <v>284</v>
      </c>
      <c r="AD39" s="10" t="s">
        <v>88</v>
      </c>
      <c r="AE39" s="10" t="s">
        <v>89</v>
      </c>
      <c r="AF39" s="10" t="s">
        <v>90</v>
      </c>
      <c r="AG39" s="10" t="s">
        <v>91</v>
      </c>
      <c r="AH39" s="10" t="s">
        <v>92</v>
      </c>
      <c r="AI39" s="10" t="s">
        <v>93</v>
      </c>
      <c r="AJ39" s="10" t="s">
        <v>94</v>
      </c>
      <c r="AK39" s="10" t="s">
        <v>86</v>
      </c>
      <c r="AL39" s="10" t="s">
        <v>86</v>
      </c>
      <c r="AM39" s="11">
        <f>10*SUMPRODUCT(--(AC39:AL39&lt;&gt;""),--(((AC39:AL39=정답표!$C$6:$L$6)+(AC39:AL39=정답표!$C$7:$L$7))&gt;0))</f>
        <v>90</v>
      </c>
      <c r="AN39" s="10" t="s">
        <v>243</v>
      </c>
      <c r="AO39" s="10" t="s">
        <v>244</v>
      </c>
      <c r="AP39" s="10" t="s">
        <v>245</v>
      </c>
      <c r="AQ39" s="10" t="s">
        <v>246</v>
      </c>
      <c r="AR39" s="10" t="s">
        <v>247</v>
      </c>
      <c r="AS39" s="10" t="s">
        <v>248</v>
      </c>
      <c r="AT39" s="10" t="s">
        <v>249</v>
      </c>
      <c r="AU39" s="10" t="s">
        <v>250</v>
      </c>
      <c r="AV39" s="10" t="s">
        <v>86</v>
      </c>
      <c r="AW39" s="10" t="s">
        <v>86</v>
      </c>
      <c r="AX39" s="11">
        <f>10*SUMPRODUCT(--(AN39:AW39&lt;&gt;""),--(((AN39:AW39=정답표!$C$8:$L$8)+(AN39:AW39=정답표!$C$9:$L$9))&gt;0))</f>
        <v>100</v>
      </c>
      <c r="AY39" s="10" t="s">
        <v>95</v>
      </c>
      <c r="AZ39" s="10" t="s">
        <v>96</v>
      </c>
      <c r="BA39" s="10" t="s">
        <v>97</v>
      </c>
      <c r="BB39" s="10" t="s">
        <v>98</v>
      </c>
      <c r="BC39" s="10" t="s">
        <v>99</v>
      </c>
      <c r="BD39" s="10" t="s">
        <v>100</v>
      </c>
      <c r="BE39" s="10" t="s">
        <v>101</v>
      </c>
      <c r="BF39" s="10" t="s">
        <v>86</v>
      </c>
      <c r="BG39" s="10" t="s">
        <v>86</v>
      </c>
      <c r="BH39" s="10" t="s">
        <v>102</v>
      </c>
      <c r="BI39" s="11">
        <f>10*SUMPRODUCT(--(AY39:BH39&lt;&gt;""),--(((AY39:BH39=정답표!$C$10:$L$10)+(AY39:BH39=정답표!$C$11:$L$11))&gt;0))</f>
        <v>100</v>
      </c>
      <c r="BJ39" s="11">
        <f t="shared" si="7"/>
        <v>480</v>
      </c>
      <c r="BK39" s="12">
        <f t="shared" si="8"/>
        <v>5</v>
      </c>
      <c r="BL39" s="28">
        <f>IF(QuizMatchTable[[#This Row],[분반]]=1, QuizMatchTable[[#This Row],[퀴즈합계]]/4 *0.3, QuizMatchTable[[#This Row],[퀴즈합계]]/5*0.3)</f>
        <v>28.799999999999997</v>
      </c>
      <c r="BM39" s="28">
        <v>30</v>
      </c>
      <c r="BN39" s="28">
        <v>18.8</v>
      </c>
      <c r="BO39" s="13"/>
      <c r="BP39" s="28">
        <f>SUM(QuizMatchTable[[#This Row],[퀴즈점수(30)]],BM39,BN39,BO39)</f>
        <v>77.599999999999994</v>
      </c>
      <c r="BQ39" s="13">
        <f t="shared" si="9"/>
        <v>9</v>
      </c>
      <c r="BR39" s="33" t="s">
        <v>655</v>
      </c>
      <c r="BS39" s="13">
        <v>0</v>
      </c>
      <c r="BT39" s="13"/>
    </row>
    <row r="40" spans="1:72" x14ac:dyDescent="0.3">
      <c r="A40" s="30" t="s">
        <v>64</v>
      </c>
      <c r="B40" s="8">
        <v>2</v>
      </c>
      <c r="C40" s="8">
        <v>20220146</v>
      </c>
      <c r="D40" s="9" t="s">
        <v>357</v>
      </c>
      <c r="E40" s="8" t="s">
        <v>358</v>
      </c>
      <c r="F40" s="9" t="s">
        <v>359</v>
      </c>
      <c r="G40" s="10" t="s">
        <v>360</v>
      </c>
      <c r="H40" s="10" t="s">
        <v>69</v>
      </c>
      <c r="I40" s="10" t="s">
        <v>208</v>
      </c>
      <c r="J40" s="10" t="s">
        <v>71</v>
      </c>
      <c r="K40" s="10" t="s">
        <v>72</v>
      </c>
      <c r="L40" s="10" t="s">
        <v>73</v>
      </c>
      <c r="M40" s="10" t="s">
        <v>361</v>
      </c>
      <c r="N40" s="10" t="s">
        <v>288</v>
      </c>
      <c r="O40" s="10" t="s">
        <v>77</v>
      </c>
      <c r="P40" s="10" t="s">
        <v>77</v>
      </c>
      <c r="Q40" s="11">
        <f>10*SUMPRODUCT(--(G40:P40&lt;&gt;""),--(((G40:P40=정답표!$C$2:$L$2)+(G40:P40=정답표!$C$3:$L$3))&gt;0))</f>
        <v>50</v>
      </c>
      <c r="R40" s="10" t="s">
        <v>78</v>
      </c>
      <c r="S40" s="10" t="s">
        <v>79</v>
      </c>
      <c r="T40" s="10" t="s">
        <v>362</v>
      </c>
      <c r="U40" s="10" t="s">
        <v>81</v>
      </c>
      <c r="V40" s="10" t="s">
        <v>363</v>
      </c>
      <c r="W40" s="10" t="s">
        <v>83</v>
      </c>
      <c r="X40" s="10" t="s">
        <v>84</v>
      </c>
      <c r="Y40" s="10" t="s">
        <v>85</v>
      </c>
      <c r="Z40" s="10" t="s">
        <v>86</v>
      </c>
      <c r="AA40" s="10" t="s">
        <v>86</v>
      </c>
      <c r="AB40" s="11">
        <f>10*SUMPRODUCT(--(R40:AA40&lt;&gt;""),--(((R40:AA40=정답표!$C$4:$L$4)+(R40:AA40=정답표!$C$5:$L$5))&gt;0))</f>
        <v>80</v>
      </c>
      <c r="AC40" s="10" t="s">
        <v>87</v>
      </c>
      <c r="AD40" s="10" t="s">
        <v>88</v>
      </c>
      <c r="AE40" s="10" t="s">
        <v>89</v>
      </c>
      <c r="AF40" s="10" t="s">
        <v>90</v>
      </c>
      <c r="AG40" s="10" t="s">
        <v>91</v>
      </c>
      <c r="AH40" s="10" t="s">
        <v>92</v>
      </c>
      <c r="AI40" s="10" t="s">
        <v>93</v>
      </c>
      <c r="AJ40" s="10" t="s">
        <v>94</v>
      </c>
      <c r="AK40" s="10" t="s">
        <v>86</v>
      </c>
      <c r="AL40" s="10" t="s">
        <v>86</v>
      </c>
      <c r="AM40" s="11">
        <f>10*SUMPRODUCT(--(AC40:AL40&lt;&gt;""),--(((AC40:AL40=정답표!$C$6:$L$6)+(AC40:AL40=정답표!$C$7:$L$7))&gt;0))</f>
        <v>100</v>
      </c>
      <c r="AN40" s="10" t="s">
        <v>243</v>
      </c>
      <c r="AO40" s="10" t="s">
        <v>244</v>
      </c>
      <c r="AP40" s="10" t="s">
        <v>364</v>
      </c>
      <c r="AQ40" s="10" t="s">
        <v>365</v>
      </c>
      <c r="AR40" s="10" t="s">
        <v>247</v>
      </c>
      <c r="AS40" s="10" t="s">
        <v>347</v>
      </c>
      <c r="AT40" s="10" t="s">
        <v>366</v>
      </c>
      <c r="AU40" s="10" t="s">
        <v>250</v>
      </c>
      <c r="AV40" s="10" t="s">
        <v>86</v>
      </c>
      <c r="AW40" s="10" t="s">
        <v>86</v>
      </c>
      <c r="AX40" s="11">
        <f>10*SUMPRODUCT(--(AN40:AW40&lt;&gt;""),--(((AN40:AW40=정답표!$C$8:$L$8)+(AN40:AW40=정답표!$C$9:$L$9))&gt;0))</f>
        <v>60</v>
      </c>
      <c r="AY40" s="10" t="s">
        <v>95</v>
      </c>
      <c r="AZ40" s="10" t="s">
        <v>96</v>
      </c>
      <c r="BA40" s="10" t="s">
        <v>97</v>
      </c>
      <c r="BB40" s="10" t="s">
        <v>98</v>
      </c>
      <c r="BC40" s="10" t="s">
        <v>367</v>
      </c>
      <c r="BD40" s="10" t="s">
        <v>368</v>
      </c>
      <c r="BE40" s="10" t="s">
        <v>276</v>
      </c>
      <c r="BF40" s="10" t="s">
        <v>86</v>
      </c>
      <c r="BG40" s="10" t="s">
        <v>86</v>
      </c>
      <c r="BH40" s="10" t="s">
        <v>102</v>
      </c>
      <c r="BI40" s="11">
        <f>10*SUMPRODUCT(--(AY40:BH40&lt;&gt;""),--(((AY40:BH40=정답표!$C$10:$L$10)+(AY40:BH40=정답표!$C$11:$L$11))&gt;0))</f>
        <v>70</v>
      </c>
      <c r="BJ40" s="11">
        <f t="shared" si="7"/>
        <v>360</v>
      </c>
      <c r="BK40" s="12">
        <f t="shared" si="8"/>
        <v>5</v>
      </c>
      <c r="BL40" s="28">
        <f>IF(QuizMatchTable[[#This Row],[분반]]=1, QuizMatchTable[[#This Row],[퀴즈합계]]/4 *0.3, QuizMatchTable[[#This Row],[퀴즈합계]]/5*0.3)</f>
        <v>21.599999999999998</v>
      </c>
      <c r="BM40" s="28">
        <v>30</v>
      </c>
      <c r="BN40" s="28">
        <v>18.8</v>
      </c>
      <c r="BO40" s="13"/>
      <c r="BP40" s="28">
        <f>SUM(QuizMatchTable[[#This Row],[퀴즈점수(30)]],BM40,BN40,BO40)</f>
        <v>70.399999999999991</v>
      </c>
      <c r="BQ40" s="13">
        <f t="shared" si="9"/>
        <v>21</v>
      </c>
      <c r="BR40" s="33" t="s">
        <v>657</v>
      </c>
      <c r="BS40" s="13">
        <v>0</v>
      </c>
      <c r="BT40" s="13"/>
    </row>
    <row r="41" spans="1:72" x14ac:dyDescent="0.3">
      <c r="A41" s="30" t="s">
        <v>64</v>
      </c>
      <c r="B41" s="8">
        <v>2</v>
      </c>
      <c r="C41" s="8">
        <v>20220147</v>
      </c>
      <c r="D41" s="9" t="s">
        <v>277</v>
      </c>
      <c r="E41" s="8" t="s">
        <v>278</v>
      </c>
      <c r="F41" s="9" t="s">
        <v>279</v>
      </c>
      <c r="G41" s="10" t="s">
        <v>280</v>
      </c>
      <c r="H41" s="10" t="s">
        <v>69</v>
      </c>
      <c r="I41" s="10" t="s">
        <v>208</v>
      </c>
      <c r="J41" s="10" t="s">
        <v>71</v>
      </c>
      <c r="K41" s="10" t="s">
        <v>72</v>
      </c>
      <c r="L41" s="10" t="s">
        <v>73</v>
      </c>
      <c r="M41" s="10" t="s">
        <v>74</v>
      </c>
      <c r="N41" s="10" t="s">
        <v>75</v>
      </c>
      <c r="O41" s="10" t="s">
        <v>76</v>
      </c>
      <c r="P41" s="10" t="s">
        <v>77</v>
      </c>
      <c r="Q41" s="11">
        <f>10*SUMPRODUCT(--(G41:P41&lt;&gt;""),--(((G41:P41=정답표!$C$2:$L$2)+(G41:P41=정답표!$C$3:$L$3))&gt;0))</f>
        <v>80</v>
      </c>
      <c r="R41" s="10" t="s">
        <v>78</v>
      </c>
      <c r="S41" s="10" t="s">
        <v>79</v>
      </c>
      <c r="T41" s="10" t="s">
        <v>80</v>
      </c>
      <c r="U41" s="10" t="s">
        <v>81</v>
      </c>
      <c r="V41" s="10" t="s">
        <v>82</v>
      </c>
      <c r="W41" s="10" t="s">
        <v>83</v>
      </c>
      <c r="X41" s="10" t="s">
        <v>84</v>
      </c>
      <c r="Y41" s="10" t="s">
        <v>85</v>
      </c>
      <c r="Z41" s="10" t="s">
        <v>86</v>
      </c>
      <c r="AA41" s="10" t="s">
        <v>86</v>
      </c>
      <c r="AB41" s="11">
        <f>10*SUMPRODUCT(--(R41:AA41&lt;&gt;""),--(((R41:AA41=정답표!$C$4:$L$4)+(R41:AA41=정답표!$C$5:$L$5))&gt;0))</f>
        <v>100</v>
      </c>
      <c r="AC41" s="10" t="s">
        <v>87</v>
      </c>
      <c r="AD41" s="10" t="s">
        <v>88</v>
      </c>
      <c r="AE41" s="10" t="s">
        <v>89</v>
      </c>
      <c r="AF41" s="10" t="s">
        <v>90</v>
      </c>
      <c r="AG41" s="10" t="s">
        <v>91</v>
      </c>
      <c r="AH41" s="10" t="s">
        <v>92</v>
      </c>
      <c r="AI41" s="10" t="s">
        <v>93</v>
      </c>
      <c r="AJ41" s="10" t="s">
        <v>94</v>
      </c>
      <c r="AK41" s="10" t="s">
        <v>86</v>
      </c>
      <c r="AL41" s="10" t="s">
        <v>86</v>
      </c>
      <c r="AM41" s="11">
        <f>10*SUMPRODUCT(--(AC41:AL41&lt;&gt;""),--(((AC41:AL41=정답표!$C$6:$L$6)+(AC41:AL41=정답표!$C$7:$L$7))&gt;0))</f>
        <v>100</v>
      </c>
      <c r="AN41" s="10" t="s">
        <v>243</v>
      </c>
      <c r="AO41" s="10" t="s">
        <v>244</v>
      </c>
      <c r="AP41" s="10" t="s">
        <v>245</v>
      </c>
      <c r="AQ41" s="10" t="s">
        <v>246</v>
      </c>
      <c r="AR41" s="10" t="s">
        <v>247</v>
      </c>
      <c r="AS41" s="10" t="s">
        <v>248</v>
      </c>
      <c r="AT41" s="10" t="s">
        <v>249</v>
      </c>
      <c r="AU41" s="10" t="s">
        <v>250</v>
      </c>
      <c r="AV41" s="10" t="s">
        <v>86</v>
      </c>
      <c r="AW41" s="10" t="s">
        <v>86</v>
      </c>
      <c r="AX41" s="11">
        <f>10*SUMPRODUCT(--(AN41:AW41&lt;&gt;""),--(((AN41:AW41=정답표!$C$8:$L$8)+(AN41:AW41=정답표!$C$9:$L$9))&gt;0))</f>
        <v>100</v>
      </c>
      <c r="AY41" s="10" t="s">
        <v>95</v>
      </c>
      <c r="AZ41" s="10" t="s">
        <v>96</v>
      </c>
      <c r="BA41" s="10" t="s">
        <v>97</v>
      </c>
      <c r="BB41" s="10" t="s">
        <v>98</v>
      </c>
      <c r="BC41" s="10" t="s">
        <v>99</v>
      </c>
      <c r="BD41" s="10" t="s">
        <v>100</v>
      </c>
      <c r="BE41" s="10" t="s">
        <v>101</v>
      </c>
      <c r="BF41" s="10" t="s">
        <v>86</v>
      </c>
      <c r="BG41" s="10" t="s">
        <v>86</v>
      </c>
      <c r="BH41" s="10" t="s">
        <v>102</v>
      </c>
      <c r="BI41" s="11">
        <f>10*SUMPRODUCT(--(AY41:BH41&lt;&gt;""),--(((AY41:BH41=정답표!$C$10:$L$10)+(AY41:BH41=정답표!$C$11:$L$11))&gt;0))</f>
        <v>100</v>
      </c>
      <c r="BJ41" s="11">
        <f t="shared" si="7"/>
        <v>480</v>
      </c>
      <c r="BK41" s="12">
        <f t="shared" si="8"/>
        <v>5</v>
      </c>
      <c r="BL41" s="28">
        <f>IF(QuizMatchTable[[#This Row],[분반]]=1, QuizMatchTable[[#This Row],[퀴즈합계]]/4 *0.3, QuizMatchTable[[#This Row],[퀴즈합계]]/5*0.3)</f>
        <v>28.799999999999997</v>
      </c>
      <c r="BM41" s="28">
        <v>30</v>
      </c>
      <c r="BN41" s="28">
        <v>19.600000000000001</v>
      </c>
      <c r="BO41" s="13"/>
      <c r="BP41" s="28">
        <f>SUM(QuizMatchTable[[#This Row],[퀴즈점수(30)]],BM41,BN41,BO41)</f>
        <v>78.400000000000006</v>
      </c>
      <c r="BQ41" s="13">
        <f t="shared" si="9"/>
        <v>4</v>
      </c>
      <c r="BR41" s="33" t="s">
        <v>653</v>
      </c>
      <c r="BS41" s="13">
        <v>0</v>
      </c>
      <c r="BT41" s="13"/>
    </row>
    <row r="42" spans="1:72" x14ac:dyDescent="0.3">
      <c r="A42" s="30" t="s">
        <v>64</v>
      </c>
      <c r="B42" s="8">
        <v>2</v>
      </c>
      <c r="C42" s="8">
        <v>20220149</v>
      </c>
      <c r="D42" s="9" t="s">
        <v>314</v>
      </c>
      <c r="E42" s="8" t="s">
        <v>315</v>
      </c>
      <c r="F42" s="9" t="s">
        <v>316</v>
      </c>
      <c r="G42" s="10" t="s">
        <v>269</v>
      </c>
      <c r="H42" s="10" t="s">
        <v>69</v>
      </c>
      <c r="I42" s="10" t="s">
        <v>70</v>
      </c>
      <c r="J42" s="10" t="s">
        <v>71</v>
      </c>
      <c r="K42" s="10" t="s">
        <v>72</v>
      </c>
      <c r="L42" s="10" t="s">
        <v>73</v>
      </c>
      <c r="M42" s="10" t="s">
        <v>312</v>
      </c>
      <c r="N42" s="10" t="s">
        <v>75</v>
      </c>
      <c r="O42" s="10" t="s">
        <v>76</v>
      </c>
      <c r="P42" s="10" t="s">
        <v>77</v>
      </c>
      <c r="Q42" s="11">
        <f>10*SUMPRODUCT(--(G42:P42&lt;&gt;""),--(((G42:P42=정답표!$C$2:$L$2)+(G42:P42=정답표!$C$3:$L$3))&gt;0))</f>
        <v>80</v>
      </c>
      <c r="R42" s="10" t="s">
        <v>78</v>
      </c>
      <c r="S42" s="10" t="s">
        <v>79</v>
      </c>
      <c r="T42" s="10" t="s">
        <v>153</v>
      </c>
      <c r="U42" s="10" t="s">
        <v>81</v>
      </c>
      <c r="V42" s="10" t="s">
        <v>82</v>
      </c>
      <c r="W42" s="10" t="s">
        <v>83</v>
      </c>
      <c r="X42" s="10" t="s">
        <v>84</v>
      </c>
      <c r="Y42" s="10" t="s">
        <v>85</v>
      </c>
      <c r="Z42" s="10" t="s">
        <v>86</v>
      </c>
      <c r="AA42" s="10" t="s">
        <v>86</v>
      </c>
      <c r="AB42" s="11">
        <f>10*SUMPRODUCT(--(R42:AA42&lt;&gt;""),--(((R42:AA42=정답표!$C$4:$L$4)+(R42:AA42=정답표!$C$5:$L$5))&gt;0))</f>
        <v>90</v>
      </c>
      <c r="AC42" s="10" t="s">
        <v>87</v>
      </c>
      <c r="AD42" s="10" t="s">
        <v>88</v>
      </c>
      <c r="AE42" s="10" t="s">
        <v>89</v>
      </c>
      <c r="AF42" s="10" t="s">
        <v>90</v>
      </c>
      <c r="AG42" s="10" t="s">
        <v>91</v>
      </c>
      <c r="AH42" s="10" t="s">
        <v>92</v>
      </c>
      <c r="AI42" s="10" t="s">
        <v>93</v>
      </c>
      <c r="AJ42" s="10" t="s">
        <v>313</v>
      </c>
      <c r="AK42" s="10" t="s">
        <v>86</v>
      </c>
      <c r="AL42" s="10" t="s">
        <v>86</v>
      </c>
      <c r="AM42" s="11">
        <f>10*SUMPRODUCT(--(AC42:AL42&lt;&gt;""),--(((AC42:AL42=정답표!$C$6:$L$6)+(AC42:AL42=정답표!$C$7:$L$7))&gt;0))</f>
        <v>90</v>
      </c>
      <c r="AN42" s="10" t="s">
        <v>243</v>
      </c>
      <c r="AO42" s="10" t="s">
        <v>244</v>
      </c>
      <c r="AP42" s="10" t="s">
        <v>245</v>
      </c>
      <c r="AQ42" s="10" t="s">
        <v>246</v>
      </c>
      <c r="AR42" s="10" t="s">
        <v>247</v>
      </c>
      <c r="AS42" s="10" t="s">
        <v>248</v>
      </c>
      <c r="AT42" s="10" t="s">
        <v>249</v>
      </c>
      <c r="AU42" s="10" t="s">
        <v>250</v>
      </c>
      <c r="AV42" s="10" t="s">
        <v>86</v>
      </c>
      <c r="AW42" s="10" t="s">
        <v>86</v>
      </c>
      <c r="AX42" s="11">
        <f>10*SUMPRODUCT(--(AN42:AW42&lt;&gt;""),--(((AN42:AW42=정답표!$C$8:$L$8)+(AN42:AW42=정답표!$C$9:$L$9))&gt;0))</f>
        <v>100</v>
      </c>
      <c r="AY42" s="10" t="s">
        <v>95</v>
      </c>
      <c r="AZ42" s="10" t="s">
        <v>96</v>
      </c>
      <c r="BA42" s="10" t="s">
        <v>97</v>
      </c>
      <c r="BB42" s="10" t="s">
        <v>98</v>
      </c>
      <c r="BC42" s="10" t="s">
        <v>99</v>
      </c>
      <c r="BD42" s="10" t="s">
        <v>100</v>
      </c>
      <c r="BE42" s="10" t="s">
        <v>101</v>
      </c>
      <c r="BF42" s="10" t="s">
        <v>86</v>
      </c>
      <c r="BG42" s="10" t="s">
        <v>86</v>
      </c>
      <c r="BH42" s="10" t="s">
        <v>102</v>
      </c>
      <c r="BI42" s="11">
        <f>10*SUMPRODUCT(--(AY42:BH42&lt;&gt;""),--(((AY42:BH42=정답표!$C$10:$L$10)+(AY42:BH42=정답표!$C$11:$L$11))&gt;0))</f>
        <v>100</v>
      </c>
      <c r="BJ42" s="11">
        <f t="shared" si="7"/>
        <v>460</v>
      </c>
      <c r="BK42" s="12">
        <f t="shared" si="8"/>
        <v>5</v>
      </c>
      <c r="BL42" s="28">
        <f>IF(QuizMatchTable[[#This Row],[분반]]=1, QuizMatchTable[[#This Row],[퀴즈합계]]/4 *0.3, QuizMatchTable[[#This Row],[퀴즈합계]]/5*0.3)</f>
        <v>27.599999999999998</v>
      </c>
      <c r="BM42" s="28">
        <v>26</v>
      </c>
      <c r="BN42" s="28">
        <v>12.8</v>
      </c>
      <c r="BO42" s="13"/>
      <c r="BP42" s="28">
        <f>SUM(QuizMatchTable[[#This Row],[퀴즈점수(30)]],BM42,BN42,BO42)</f>
        <v>66.399999999999991</v>
      </c>
      <c r="BQ42" s="13">
        <f t="shared" si="9"/>
        <v>28</v>
      </c>
      <c r="BR42" s="33" t="s">
        <v>657</v>
      </c>
      <c r="BS42" s="13">
        <v>6</v>
      </c>
      <c r="BT42" s="13"/>
    </row>
    <row r="43" spans="1:72" x14ac:dyDescent="0.3">
      <c r="A43" s="30" t="s">
        <v>64</v>
      </c>
      <c r="B43" s="8">
        <v>2</v>
      </c>
      <c r="C43" s="8">
        <v>20220151</v>
      </c>
      <c r="D43" s="9" t="s">
        <v>251</v>
      </c>
      <c r="E43" s="8" t="s">
        <v>252</v>
      </c>
      <c r="F43" s="9" t="s">
        <v>253</v>
      </c>
      <c r="G43" s="10" t="s">
        <v>68</v>
      </c>
      <c r="H43" s="10" t="s">
        <v>69</v>
      </c>
      <c r="I43" s="10" t="s">
        <v>70</v>
      </c>
      <c r="J43" s="10" t="s">
        <v>71</v>
      </c>
      <c r="K43" s="10" t="s">
        <v>72</v>
      </c>
      <c r="L43" s="10" t="s">
        <v>73</v>
      </c>
      <c r="M43" s="10" t="s">
        <v>74</v>
      </c>
      <c r="N43" s="10" t="s">
        <v>75</v>
      </c>
      <c r="O43" s="10" t="s">
        <v>76</v>
      </c>
      <c r="P43" s="10" t="s">
        <v>77</v>
      </c>
      <c r="Q43" s="11">
        <f>10*SUMPRODUCT(--(G43:P43&lt;&gt;""),--(((G43:P43=정답표!$C$2:$L$2)+(G43:P43=정답표!$C$3:$L$3))&gt;0))</f>
        <v>100</v>
      </c>
      <c r="R43" s="10" t="s">
        <v>78</v>
      </c>
      <c r="S43" s="10" t="s">
        <v>79</v>
      </c>
      <c r="T43" s="10" t="s">
        <v>80</v>
      </c>
      <c r="U43" s="10" t="s">
        <v>81</v>
      </c>
      <c r="V43" s="10" t="s">
        <v>82</v>
      </c>
      <c r="W43" s="10" t="s">
        <v>83</v>
      </c>
      <c r="X43" s="10" t="s">
        <v>84</v>
      </c>
      <c r="Y43" s="10" t="s">
        <v>85</v>
      </c>
      <c r="Z43" s="10" t="s">
        <v>86</v>
      </c>
      <c r="AA43" s="10" t="s">
        <v>86</v>
      </c>
      <c r="AB43" s="11">
        <f>10*SUMPRODUCT(--(R43:AA43&lt;&gt;""),--(((R43:AA43=정답표!$C$4:$L$4)+(R43:AA43=정답표!$C$5:$L$5))&gt;0))</f>
        <v>100</v>
      </c>
      <c r="AC43" s="10" t="s">
        <v>87</v>
      </c>
      <c r="AD43" s="10" t="s">
        <v>88</v>
      </c>
      <c r="AE43" s="10" t="s">
        <v>89</v>
      </c>
      <c r="AF43" s="10" t="s">
        <v>90</v>
      </c>
      <c r="AG43" s="10" t="s">
        <v>91</v>
      </c>
      <c r="AH43" s="10" t="s">
        <v>92</v>
      </c>
      <c r="AI43" s="10" t="s">
        <v>93</v>
      </c>
      <c r="AJ43" s="10" t="s">
        <v>94</v>
      </c>
      <c r="AK43" s="10" t="s">
        <v>86</v>
      </c>
      <c r="AL43" s="10" t="s">
        <v>86</v>
      </c>
      <c r="AM43" s="11">
        <f>10*SUMPRODUCT(--(AC43:AL43&lt;&gt;""),--(((AC43:AL43=정답표!$C$6:$L$6)+(AC43:AL43=정답표!$C$7:$L$7))&gt;0))</f>
        <v>100</v>
      </c>
      <c r="AN43" s="10" t="s">
        <v>243</v>
      </c>
      <c r="AO43" s="10" t="s">
        <v>244</v>
      </c>
      <c r="AP43" s="10" t="s">
        <v>245</v>
      </c>
      <c r="AQ43" s="10" t="s">
        <v>246</v>
      </c>
      <c r="AR43" s="10" t="s">
        <v>247</v>
      </c>
      <c r="AS43" s="10" t="s">
        <v>248</v>
      </c>
      <c r="AT43" s="10" t="s">
        <v>249</v>
      </c>
      <c r="AU43" s="10" t="s">
        <v>250</v>
      </c>
      <c r="AV43" s="10" t="s">
        <v>86</v>
      </c>
      <c r="AW43" s="10" t="s">
        <v>86</v>
      </c>
      <c r="AX43" s="11">
        <f>10*SUMPRODUCT(--(AN43:AW43&lt;&gt;""),--(((AN43:AW43=정답표!$C$8:$L$8)+(AN43:AW43=정답표!$C$9:$L$9))&gt;0))</f>
        <v>100</v>
      </c>
      <c r="AY43" s="10" t="s">
        <v>95</v>
      </c>
      <c r="AZ43" s="10" t="s">
        <v>96</v>
      </c>
      <c r="BA43" s="10" t="s">
        <v>97</v>
      </c>
      <c r="BB43" s="10" t="s">
        <v>98</v>
      </c>
      <c r="BC43" s="10" t="s">
        <v>99</v>
      </c>
      <c r="BD43" s="10" t="s">
        <v>100</v>
      </c>
      <c r="BE43" s="10" t="s">
        <v>101</v>
      </c>
      <c r="BF43" s="10" t="s">
        <v>86</v>
      </c>
      <c r="BG43" s="10" t="s">
        <v>86</v>
      </c>
      <c r="BH43" s="10" t="s">
        <v>102</v>
      </c>
      <c r="BI43" s="11">
        <f>10*SUMPRODUCT(--(AY43:BH43&lt;&gt;""),--(((AY43:BH43=정답표!$C$10:$L$10)+(AY43:BH43=정답표!$C$11:$L$11))&gt;0))</f>
        <v>100</v>
      </c>
      <c r="BJ43" s="11">
        <f t="shared" si="7"/>
        <v>500</v>
      </c>
      <c r="BK43" s="12">
        <f t="shared" si="8"/>
        <v>5</v>
      </c>
      <c r="BL43" s="28">
        <f>IF(QuizMatchTable[[#This Row],[분반]]=1, QuizMatchTable[[#This Row],[퀴즈합계]]/4 *0.3, QuizMatchTable[[#This Row],[퀴즈합계]]/5*0.3)</f>
        <v>30</v>
      </c>
      <c r="BM43" s="28">
        <v>30</v>
      </c>
      <c r="BN43" s="28">
        <v>14</v>
      </c>
      <c r="BO43" s="13"/>
      <c r="BP43" s="28">
        <f>SUM(QuizMatchTable[[#This Row],[퀴즈점수(30)]],BM43,BN43,BO43)</f>
        <v>74</v>
      </c>
      <c r="BQ43" s="13">
        <f t="shared" si="9"/>
        <v>17</v>
      </c>
      <c r="BR43" s="33" t="s">
        <v>656</v>
      </c>
      <c r="BS43" s="13">
        <v>0</v>
      </c>
      <c r="BT43" s="13"/>
    </row>
    <row r="44" spans="1:72" x14ac:dyDescent="0.3">
      <c r="A44" s="30" t="s">
        <v>64</v>
      </c>
      <c r="B44" s="8">
        <v>2</v>
      </c>
      <c r="C44" s="8">
        <v>20220152</v>
      </c>
      <c r="D44" s="9" t="s">
        <v>340</v>
      </c>
      <c r="E44" s="8" t="s">
        <v>341</v>
      </c>
      <c r="F44" s="9" t="s">
        <v>342</v>
      </c>
      <c r="G44" s="10" t="s">
        <v>68</v>
      </c>
      <c r="H44" s="10" t="s">
        <v>69</v>
      </c>
      <c r="I44" s="10" t="s">
        <v>70</v>
      </c>
      <c r="J44" s="10" t="s">
        <v>71</v>
      </c>
      <c r="K44" s="10" t="s">
        <v>72</v>
      </c>
      <c r="L44" s="10" t="s">
        <v>73</v>
      </c>
      <c r="M44" s="10" t="s">
        <v>74</v>
      </c>
      <c r="N44" s="10" t="s">
        <v>75</v>
      </c>
      <c r="O44" s="10" t="s">
        <v>76</v>
      </c>
      <c r="P44" s="10" t="s">
        <v>77</v>
      </c>
      <c r="Q44" s="11">
        <f>10*SUMPRODUCT(--(G44:P44&lt;&gt;""),--(((G44:P44=정답표!$C$2:$L$2)+(G44:P44=정답표!$C$3:$L$3))&gt;0))</f>
        <v>100</v>
      </c>
      <c r="R44" s="10" t="s">
        <v>343</v>
      </c>
      <c r="S44" s="10" t="s">
        <v>344</v>
      </c>
      <c r="T44" s="10" t="s">
        <v>153</v>
      </c>
      <c r="U44" s="10" t="s">
        <v>81</v>
      </c>
      <c r="V44" s="10" t="s">
        <v>82</v>
      </c>
      <c r="W44" s="10" t="s">
        <v>332</v>
      </c>
      <c r="X44" s="10" t="s">
        <v>84</v>
      </c>
      <c r="Y44" s="10" t="s">
        <v>136</v>
      </c>
      <c r="Z44" s="10" t="s">
        <v>86</v>
      </c>
      <c r="AA44" s="10" t="s">
        <v>86</v>
      </c>
      <c r="AB44" s="11">
        <f>10*SUMPRODUCT(--(R44:AA44&lt;&gt;""),--(((R44:AA44=정답표!$C$4:$L$4)+(R44:AA44=정답표!$C$5:$L$5))&gt;0))</f>
        <v>50</v>
      </c>
      <c r="AC44" s="10" t="s">
        <v>87</v>
      </c>
      <c r="AD44" s="10" t="s">
        <v>345</v>
      </c>
      <c r="AE44" s="10" t="s">
        <v>327</v>
      </c>
      <c r="AF44" s="10" t="s">
        <v>90</v>
      </c>
      <c r="AG44" s="10" t="s">
        <v>161</v>
      </c>
      <c r="AH44" s="10" t="s">
        <v>346</v>
      </c>
      <c r="AI44" s="10" t="s">
        <v>93</v>
      </c>
      <c r="AJ44" s="10" t="s">
        <v>94</v>
      </c>
      <c r="AK44" s="10" t="s">
        <v>86</v>
      </c>
      <c r="AL44" s="10" t="s">
        <v>86</v>
      </c>
      <c r="AM44" s="11">
        <f>10*SUMPRODUCT(--(AC44:AL44&lt;&gt;""),--(((AC44:AL44=정답표!$C$6:$L$6)+(AC44:AL44=정답표!$C$7:$L$7))&gt;0))</f>
        <v>60</v>
      </c>
      <c r="AN44" s="10" t="s">
        <v>243</v>
      </c>
      <c r="AO44" s="10" t="s">
        <v>244</v>
      </c>
      <c r="AP44" s="10" t="s">
        <v>245</v>
      </c>
      <c r="AQ44" s="10" t="s">
        <v>246</v>
      </c>
      <c r="AR44" s="10" t="s">
        <v>247</v>
      </c>
      <c r="AS44" s="10" t="s">
        <v>347</v>
      </c>
      <c r="AT44" s="10" t="s">
        <v>249</v>
      </c>
      <c r="AU44" s="10" t="s">
        <v>250</v>
      </c>
      <c r="AV44" s="10" t="s">
        <v>86</v>
      </c>
      <c r="AW44" s="10" t="s">
        <v>86</v>
      </c>
      <c r="AX44" s="11">
        <f>10*SUMPRODUCT(--(AN44:AW44&lt;&gt;""),--(((AN44:AW44=정답표!$C$8:$L$8)+(AN44:AW44=정답표!$C$9:$L$9))&gt;0))</f>
        <v>90</v>
      </c>
      <c r="AY44" s="10" t="s">
        <v>95</v>
      </c>
      <c r="AZ44" s="10" t="s">
        <v>96</v>
      </c>
      <c r="BA44" s="10" t="s">
        <v>97</v>
      </c>
      <c r="BB44" s="10" t="s">
        <v>98</v>
      </c>
      <c r="BC44" s="10" t="s">
        <v>99</v>
      </c>
      <c r="BD44" s="10" t="s">
        <v>100</v>
      </c>
      <c r="BE44" s="10" t="s">
        <v>101</v>
      </c>
      <c r="BF44" s="10" t="s">
        <v>86</v>
      </c>
      <c r="BG44" s="10" t="s">
        <v>86</v>
      </c>
      <c r="BH44" s="10" t="s">
        <v>102</v>
      </c>
      <c r="BI44" s="11">
        <f>10*SUMPRODUCT(--(AY44:BH44&lt;&gt;""),--(((AY44:BH44=정답표!$C$10:$L$10)+(AY44:BH44=정답표!$C$11:$L$11))&gt;0))</f>
        <v>100</v>
      </c>
      <c r="BJ44" s="11">
        <f t="shared" si="7"/>
        <v>400</v>
      </c>
      <c r="BK44" s="12">
        <f t="shared" si="8"/>
        <v>5</v>
      </c>
      <c r="BL44" s="28">
        <f>IF(QuizMatchTable[[#This Row],[분반]]=1, QuizMatchTable[[#This Row],[퀴즈합계]]/4 *0.3, QuizMatchTable[[#This Row],[퀴즈합계]]/5*0.3)</f>
        <v>24</v>
      </c>
      <c r="BM44" s="28">
        <v>30</v>
      </c>
      <c r="BN44" s="28">
        <v>18.8</v>
      </c>
      <c r="BO44" s="13"/>
      <c r="BP44" s="28">
        <f>SUM(QuizMatchTable[[#This Row],[퀴즈점수(30)]],BM44,BN44,BO44)</f>
        <v>72.8</v>
      </c>
      <c r="BQ44" s="13">
        <f t="shared" si="9"/>
        <v>20</v>
      </c>
      <c r="BR44" s="33" t="s">
        <v>657</v>
      </c>
      <c r="BS44" s="13">
        <v>0</v>
      </c>
      <c r="BT44" s="13"/>
    </row>
    <row r="45" spans="1:72" x14ac:dyDescent="0.3">
      <c r="A45" s="30" t="s">
        <v>64</v>
      </c>
      <c r="B45" s="8">
        <v>2</v>
      </c>
      <c r="C45" s="8">
        <v>20220153</v>
      </c>
      <c r="D45" s="9" t="s">
        <v>299</v>
      </c>
      <c r="E45" s="8" t="s">
        <v>300</v>
      </c>
      <c r="F45" s="9" t="s">
        <v>301</v>
      </c>
      <c r="G45" s="10" t="s">
        <v>269</v>
      </c>
      <c r="H45" s="10" t="s">
        <v>69</v>
      </c>
      <c r="I45" s="10" t="s">
        <v>70</v>
      </c>
      <c r="J45" s="10" t="s">
        <v>71</v>
      </c>
      <c r="K45" s="10" t="s">
        <v>72</v>
      </c>
      <c r="L45" s="10" t="s">
        <v>73</v>
      </c>
      <c r="M45" s="10" t="s">
        <v>74</v>
      </c>
      <c r="N45" s="10" t="s">
        <v>75</v>
      </c>
      <c r="O45" s="10" t="s">
        <v>76</v>
      </c>
      <c r="P45" s="10" t="s">
        <v>77</v>
      </c>
      <c r="Q45" s="11">
        <f>10*SUMPRODUCT(--(G45:P45&lt;&gt;""),--(((G45:P45=정답표!$C$2:$L$2)+(G45:P45=정답표!$C$3:$L$3))&gt;0))</f>
        <v>90</v>
      </c>
      <c r="R45" s="10" t="s">
        <v>78</v>
      </c>
      <c r="S45" s="10" t="s">
        <v>79</v>
      </c>
      <c r="T45" s="10" t="s">
        <v>80</v>
      </c>
      <c r="U45" s="10" t="s">
        <v>81</v>
      </c>
      <c r="V45" s="10" t="s">
        <v>82</v>
      </c>
      <c r="W45" s="10" t="s">
        <v>83</v>
      </c>
      <c r="X45" s="10" t="s">
        <v>84</v>
      </c>
      <c r="Y45" s="10" t="s">
        <v>85</v>
      </c>
      <c r="Z45" s="10" t="s">
        <v>86</v>
      </c>
      <c r="AA45" s="10" t="s">
        <v>86</v>
      </c>
      <c r="AB45" s="11">
        <f>10*SUMPRODUCT(--(R45:AA45&lt;&gt;""),--(((R45:AA45=정답표!$C$4:$L$4)+(R45:AA45=정답표!$C$5:$L$5))&gt;0))</f>
        <v>100</v>
      </c>
      <c r="AC45" s="10" t="s">
        <v>87</v>
      </c>
      <c r="AD45" s="10" t="s">
        <v>88</v>
      </c>
      <c r="AE45" s="10" t="s">
        <v>89</v>
      </c>
      <c r="AF45" s="10" t="s">
        <v>90</v>
      </c>
      <c r="AG45" s="10" t="s">
        <v>91</v>
      </c>
      <c r="AH45" s="10" t="s">
        <v>92</v>
      </c>
      <c r="AI45" s="10" t="s">
        <v>93</v>
      </c>
      <c r="AJ45" s="10" t="s">
        <v>94</v>
      </c>
      <c r="AK45" s="10" t="s">
        <v>86</v>
      </c>
      <c r="AL45" s="10" t="s">
        <v>86</v>
      </c>
      <c r="AM45" s="11">
        <f>10*SUMPRODUCT(--(AC45:AL45&lt;&gt;""),--(((AC45:AL45=정답표!$C$6:$L$6)+(AC45:AL45=정답표!$C$7:$L$7))&gt;0))</f>
        <v>100</v>
      </c>
      <c r="AN45" s="10" t="s">
        <v>243</v>
      </c>
      <c r="AO45" s="10" t="s">
        <v>244</v>
      </c>
      <c r="AP45" s="10" t="s">
        <v>245</v>
      </c>
      <c r="AQ45" s="10" t="s">
        <v>246</v>
      </c>
      <c r="AR45" s="10" t="s">
        <v>247</v>
      </c>
      <c r="AS45" s="10" t="s">
        <v>248</v>
      </c>
      <c r="AT45" s="10" t="s">
        <v>249</v>
      </c>
      <c r="AU45" s="10" t="s">
        <v>250</v>
      </c>
      <c r="AV45" s="10" t="s">
        <v>86</v>
      </c>
      <c r="AW45" s="10" t="s">
        <v>86</v>
      </c>
      <c r="AX45" s="11">
        <f>10*SUMPRODUCT(--(AN45:AW45&lt;&gt;""),--(((AN45:AW45=정답표!$C$8:$L$8)+(AN45:AW45=정답표!$C$9:$L$9))&gt;0))</f>
        <v>100</v>
      </c>
      <c r="AY45" s="10" t="s">
        <v>95</v>
      </c>
      <c r="AZ45" s="10" t="s">
        <v>96</v>
      </c>
      <c r="BA45" s="10" t="s">
        <v>97</v>
      </c>
      <c r="BB45" s="10" t="s">
        <v>98</v>
      </c>
      <c r="BC45" s="10" t="s">
        <v>99</v>
      </c>
      <c r="BD45" s="10" t="s">
        <v>302</v>
      </c>
      <c r="BE45" s="10" t="s">
        <v>101</v>
      </c>
      <c r="BF45" s="10" t="s">
        <v>86</v>
      </c>
      <c r="BG45" s="10" t="s">
        <v>86</v>
      </c>
      <c r="BH45" s="10" t="s">
        <v>102</v>
      </c>
      <c r="BI45" s="11">
        <f>10*SUMPRODUCT(--(AY45:BH45&lt;&gt;""),--(((AY45:BH45=정답표!$C$10:$L$10)+(AY45:BH45=정답표!$C$11:$L$11))&gt;0))</f>
        <v>90</v>
      </c>
      <c r="BJ45" s="11">
        <f t="shared" si="7"/>
        <v>480</v>
      </c>
      <c r="BK45" s="12">
        <f t="shared" si="8"/>
        <v>5</v>
      </c>
      <c r="BL45" s="28">
        <f>IF(QuizMatchTable[[#This Row],[분반]]=1, QuizMatchTable[[#This Row],[퀴즈합계]]/4 *0.3, QuizMatchTable[[#This Row],[퀴즈합계]]/5*0.3)</f>
        <v>28.799999999999997</v>
      </c>
      <c r="BM45" s="28">
        <v>30</v>
      </c>
      <c r="BN45" s="28">
        <v>18.8</v>
      </c>
      <c r="BO45" s="13"/>
      <c r="BP45" s="28">
        <f>SUM(QuizMatchTable[[#This Row],[퀴즈점수(30)]],BM45,BN45,BO45)</f>
        <v>77.599999999999994</v>
      </c>
      <c r="BQ45" s="13">
        <f t="shared" si="9"/>
        <v>9</v>
      </c>
      <c r="BR45" s="33" t="s">
        <v>655</v>
      </c>
      <c r="BS45" s="13">
        <v>0</v>
      </c>
      <c r="BT45" s="13"/>
    </row>
    <row r="46" spans="1:72" x14ac:dyDescent="0.3">
      <c r="A46" s="30" t="s">
        <v>64</v>
      </c>
      <c r="B46" s="8">
        <v>2</v>
      </c>
      <c r="C46" s="8">
        <v>20220154</v>
      </c>
      <c r="D46" s="9" t="s">
        <v>306</v>
      </c>
      <c r="E46" s="8" t="s">
        <v>307</v>
      </c>
      <c r="F46" s="9" t="s">
        <v>308</v>
      </c>
      <c r="G46" s="10" t="s">
        <v>269</v>
      </c>
      <c r="H46" s="10" t="s">
        <v>69</v>
      </c>
      <c r="I46" s="10" t="s">
        <v>70</v>
      </c>
      <c r="J46" s="10" t="s">
        <v>71</v>
      </c>
      <c r="K46" s="10" t="s">
        <v>72</v>
      </c>
      <c r="L46" s="10" t="s">
        <v>73</v>
      </c>
      <c r="M46" s="10" t="s">
        <v>74</v>
      </c>
      <c r="N46" s="10" t="s">
        <v>75</v>
      </c>
      <c r="O46" s="10" t="s">
        <v>76</v>
      </c>
      <c r="P46" s="10"/>
      <c r="Q46" s="11">
        <f>10*SUMPRODUCT(--(G46:P46&lt;&gt;""),--(((G46:P46=정답표!$C$2:$L$2)+(G46:P46=정답표!$C$3:$L$3))&gt;0))</f>
        <v>80</v>
      </c>
      <c r="R46" s="10" t="s">
        <v>78</v>
      </c>
      <c r="S46" s="10" t="s">
        <v>79</v>
      </c>
      <c r="T46" s="10" t="s">
        <v>80</v>
      </c>
      <c r="U46" s="10" t="s">
        <v>81</v>
      </c>
      <c r="V46" s="10" t="s">
        <v>82</v>
      </c>
      <c r="W46" s="10" t="s">
        <v>83</v>
      </c>
      <c r="X46" s="10" t="s">
        <v>84</v>
      </c>
      <c r="Y46" s="10" t="s">
        <v>85</v>
      </c>
      <c r="Z46" s="10" t="s">
        <v>86</v>
      </c>
      <c r="AA46" s="10" t="s">
        <v>86</v>
      </c>
      <c r="AB46" s="11">
        <f>10*SUMPRODUCT(--(R46:AA46&lt;&gt;""),--(((R46:AA46=정답표!$C$4:$L$4)+(R46:AA46=정답표!$C$5:$L$5))&gt;0))</f>
        <v>100</v>
      </c>
      <c r="AC46" s="10" t="s">
        <v>284</v>
      </c>
      <c r="AD46" s="10" t="s">
        <v>88</v>
      </c>
      <c r="AE46" s="10" t="s">
        <v>89</v>
      </c>
      <c r="AF46" s="10" t="s">
        <v>90</v>
      </c>
      <c r="AG46" s="10" t="s">
        <v>91</v>
      </c>
      <c r="AH46" s="10" t="s">
        <v>92</v>
      </c>
      <c r="AI46" s="10" t="s">
        <v>93</v>
      </c>
      <c r="AJ46" s="10" t="s">
        <v>94</v>
      </c>
      <c r="AK46" s="10" t="s">
        <v>86</v>
      </c>
      <c r="AL46" s="10" t="s">
        <v>86</v>
      </c>
      <c r="AM46" s="11">
        <f>10*SUMPRODUCT(--(AC46:AL46&lt;&gt;""),--(((AC46:AL46=정답표!$C$6:$L$6)+(AC46:AL46=정답표!$C$7:$L$7))&gt;0))</f>
        <v>90</v>
      </c>
      <c r="AN46" s="10" t="s">
        <v>243</v>
      </c>
      <c r="AO46" s="10" t="s">
        <v>244</v>
      </c>
      <c r="AP46" s="10" t="s">
        <v>245</v>
      </c>
      <c r="AQ46" s="10" t="s">
        <v>246</v>
      </c>
      <c r="AR46" s="10" t="s">
        <v>247</v>
      </c>
      <c r="AS46" s="10" t="s">
        <v>248</v>
      </c>
      <c r="AT46" s="10" t="s">
        <v>249</v>
      </c>
      <c r="AU46" s="10" t="s">
        <v>250</v>
      </c>
      <c r="AV46" s="10" t="s">
        <v>86</v>
      </c>
      <c r="AW46" s="10" t="s">
        <v>86</v>
      </c>
      <c r="AX46" s="11">
        <f>10*SUMPRODUCT(--(AN46:AW46&lt;&gt;""),--(((AN46:AW46=정답표!$C$8:$L$8)+(AN46:AW46=정답표!$C$9:$L$9))&gt;0))</f>
        <v>100</v>
      </c>
      <c r="AY46" s="10" t="s">
        <v>95</v>
      </c>
      <c r="AZ46" s="10" t="s">
        <v>96</v>
      </c>
      <c r="BA46" s="10" t="s">
        <v>97</v>
      </c>
      <c r="BB46" s="10" t="s">
        <v>98</v>
      </c>
      <c r="BC46" s="10" t="s">
        <v>99</v>
      </c>
      <c r="BD46" s="10" t="s">
        <v>100</v>
      </c>
      <c r="BE46" s="10" t="s">
        <v>101</v>
      </c>
      <c r="BF46" s="10" t="s">
        <v>86</v>
      </c>
      <c r="BG46" s="10" t="s">
        <v>86</v>
      </c>
      <c r="BH46" s="10" t="s">
        <v>102</v>
      </c>
      <c r="BI46" s="11">
        <f>10*SUMPRODUCT(--(AY46:BH46&lt;&gt;""),--(((AY46:BH46=정답표!$C$10:$L$10)+(AY46:BH46=정답표!$C$11:$L$11))&gt;0))</f>
        <v>100</v>
      </c>
      <c r="BJ46" s="11">
        <f t="shared" si="7"/>
        <v>470</v>
      </c>
      <c r="BK46" s="12">
        <f t="shared" si="8"/>
        <v>5</v>
      </c>
      <c r="BL46" s="28">
        <f>IF(QuizMatchTable[[#This Row],[분반]]=1, QuizMatchTable[[#This Row],[퀴즈합계]]/4 *0.3, QuizMatchTable[[#This Row],[퀴즈합계]]/5*0.3)</f>
        <v>28.2</v>
      </c>
      <c r="BM46" s="28">
        <v>30</v>
      </c>
      <c r="BN46" s="28">
        <v>20</v>
      </c>
      <c r="BO46" s="13"/>
      <c r="BP46" s="28">
        <f>SUM(QuizMatchTable[[#This Row],[퀴즈점수(30)]],BM46,BN46,BO46)</f>
        <v>78.2</v>
      </c>
      <c r="BQ46" s="13">
        <f t="shared" si="9"/>
        <v>6</v>
      </c>
      <c r="BR46" s="33" t="s">
        <v>654</v>
      </c>
      <c r="BS46" s="13">
        <v>0</v>
      </c>
      <c r="BT46" s="13"/>
    </row>
    <row r="47" spans="1:72" x14ac:dyDescent="0.3">
      <c r="A47" s="30" t="s">
        <v>64</v>
      </c>
      <c r="B47" s="8">
        <v>2</v>
      </c>
      <c r="C47" s="8">
        <v>20220159</v>
      </c>
      <c r="D47" s="9" t="s">
        <v>273</v>
      </c>
      <c r="E47" s="8" t="s">
        <v>274</v>
      </c>
      <c r="F47" s="9" t="s">
        <v>275</v>
      </c>
      <c r="G47" s="10" t="s">
        <v>68</v>
      </c>
      <c r="H47" s="10" t="s">
        <v>69</v>
      </c>
      <c r="I47" s="10" t="s">
        <v>70</v>
      </c>
      <c r="J47" s="10" t="s">
        <v>71</v>
      </c>
      <c r="K47" s="10" t="s">
        <v>72</v>
      </c>
      <c r="L47" s="10" t="s">
        <v>73</v>
      </c>
      <c r="M47" s="10" t="s">
        <v>74</v>
      </c>
      <c r="N47" s="10" t="s">
        <v>75</v>
      </c>
      <c r="O47" s="10" t="s">
        <v>76</v>
      </c>
      <c r="P47" s="10" t="s">
        <v>77</v>
      </c>
      <c r="Q47" s="11">
        <f>10*SUMPRODUCT(--(G47:P47&lt;&gt;""),--(((G47:P47=정답표!$C$2:$L$2)+(G47:P47=정답표!$C$3:$L$3))&gt;0))</f>
        <v>100</v>
      </c>
      <c r="R47" s="10" t="s">
        <v>78</v>
      </c>
      <c r="S47" s="10" t="s">
        <v>79</v>
      </c>
      <c r="T47" s="10" t="s">
        <v>80</v>
      </c>
      <c r="U47" s="10" t="s">
        <v>81</v>
      </c>
      <c r="V47" s="10" t="s">
        <v>82</v>
      </c>
      <c r="W47" s="10" t="s">
        <v>83</v>
      </c>
      <c r="X47" s="10" t="s">
        <v>84</v>
      </c>
      <c r="Y47" s="10" t="s">
        <v>85</v>
      </c>
      <c r="Z47" s="10" t="s">
        <v>86</v>
      </c>
      <c r="AA47" s="10" t="s">
        <v>86</v>
      </c>
      <c r="AB47" s="11">
        <f>10*SUMPRODUCT(--(R47:AA47&lt;&gt;""),--(((R47:AA47=정답표!$C$4:$L$4)+(R47:AA47=정답표!$C$5:$L$5))&gt;0))</f>
        <v>100</v>
      </c>
      <c r="AC47" s="10" t="s">
        <v>87</v>
      </c>
      <c r="AD47" s="10" t="s">
        <v>88</v>
      </c>
      <c r="AE47" s="10" t="s">
        <v>89</v>
      </c>
      <c r="AF47" s="10" t="s">
        <v>90</v>
      </c>
      <c r="AG47" s="10" t="s">
        <v>91</v>
      </c>
      <c r="AH47" s="10" t="s">
        <v>92</v>
      </c>
      <c r="AI47" s="10" t="s">
        <v>93</v>
      </c>
      <c r="AJ47" s="10" t="s">
        <v>94</v>
      </c>
      <c r="AK47" s="10" t="s">
        <v>86</v>
      </c>
      <c r="AL47" s="10" t="s">
        <v>86</v>
      </c>
      <c r="AM47" s="11">
        <f>10*SUMPRODUCT(--(AC47:AL47&lt;&gt;""),--(((AC47:AL47=정답표!$C$6:$L$6)+(AC47:AL47=정답표!$C$7:$L$7))&gt;0))</f>
        <v>100</v>
      </c>
      <c r="AN47" s="10" t="s">
        <v>243</v>
      </c>
      <c r="AO47" s="10" t="s">
        <v>244</v>
      </c>
      <c r="AP47" s="10" t="s">
        <v>245</v>
      </c>
      <c r="AQ47" s="10" t="s">
        <v>246</v>
      </c>
      <c r="AR47" s="10" t="s">
        <v>247</v>
      </c>
      <c r="AS47" s="10" t="s">
        <v>248</v>
      </c>
      <c r="AT47" s="10" t="s">
        <v>249</v>
      </c>
      <c r="AU47" s="10" t="s">
        <v>250</v>
      </c>
      <c r="AV47" s="10" t="s">
        <v>86</v>
      </c>
      <c r="AW47" s="10" t="s">
        <v>86</v>
      </c>
      <c r="AX47" s="11">
        <f>10*SUMPRODUCT(--(AN47:AW47&lt;&gt;""),--(((AN47:AW47=정답표!$C$8:$L$8)+(AN47:AW47=정답표!$C$9:$L$9))&gt;0))</f>
        <v>100</v>
      </c>
      <c r="AY47" s="10" t="s">
        <v>95</v>
      </c>
      <c r="AZ47" s="10" t="s">
        <v>96</v>
      </c>
      <c r="BA47" s="10" t="s">
        <v>97</v>
      </c>
      <c r="BB47" s="10" t="s">
        <v>98</v>
      </c>
      <c r="BC47" s="10" t="s">
        <v>99</v>
      </c>
      <c r="BD47" s="10" t="s">
        <v>100</v>
      </c>
      <c r="BE47" s="10" t="s">
        <v>276</v>
      </c>
      <c r="BF47" s="10" t="s">
        <v>86</v>
      </c>
      <c r="BG47" s="10" t="s">
        <v>86</v>
      </c>
      <c r="BH47" s="10" t="s">
        <v>102</v>
      </c>
      <c r="BI47" s="11">
        <f>10*SUMPRODUCT(--(AY47:BH47&lt;&gt;""),--(((AY47:BH47=정답표!$C$10:$L$10)+(AY47:BH47=정답표!$C$11:$L$11))&gt;0))</f>
        <v>90</v>
      </c>
      <c r="BJ47" s="11">
        <f t="shared" si="7"/>
        <v>490</v>
      </c>
      <c r="BK47" s="12">
        <f t="shared" si="8"/>
        <v>5</v>
      </c>
      <c r="BL47" s="28">
        <f>IF(QuizMatchTable[[#This Row],[분반]]=1, QuizMatchTable[[#This Row],[퀴즈합계]]/4 *0.3, QuizMatchTable[[#This Row],[퀴즈합계]]/5*0.3)</f>
        <v>29.4</v>
      </c>
      <c r="BM47" s="28">
        <v>28</v>
      </c>
      <c r="BN47" s="28">
        <v>18.8</v>
      </c>
      <c r="BO47" s="13"/>
      <c r="BP47" s="28">
        <f>SUM(QuizMatchTable[[#This Row],[퀴즈점수(30)]],BM47,BN47,BO47)</f>
        <v>76.2</v>
      </c>
      <c r="BQ47" s="13">
        <f t="shared" si="9"/>
        <v>14</v>
      </c>
      <c r="BR47" s="33" t="s">
        <v>655</v>
      </c>
      <c r="BS47" s="13">
        <v>3</v>
      </c>
      <c r="BT47" s="13"/>
    </row>
    <row r="48" spans="1:72" x14ac:dyDescent="0.3">
      <c r="A48" s="30" t="s">
        <v>64</v>
      </c>
      <c r="B48" s="8">
        <v>2</v>
      </c>
      <c r="C48" s="8">
        <v>20220169</v>
      </c>
      <c r="D48" s="9" t="s">
        <v>292</v>
      </c>
      <c r="E48" s="8" t="s">
        <v>293</v>
      </c>
      <c r="F48" s="9" t="s">
        <v>294</v>
      </c>
      <c r="G48" s="10" t="s">
        <v>269</v>
      </c>
      <c r="H48" s="10" t="s">
        <v>69</v>
      </c>
      <c r="I48" s="10" t="s">
        <v>70</v>
      </c>
      <c r="J48" s="10" t="s">
        <v>71</v>
      </c>
      <c r="K48" s="10" t="s">
        <v>72</v>
      </c>
      <c r="L48" s="10" t="s">
        <v>73</v>
      </c>
      <c r="M48" s="10" t="s">
        <v>74</v>
      </c>
      <c r="N48" s="10" t="s">
        <v>75</v>
      </c>
      <c r="O48" s="10" t="s">
        <v>76</v>
      </c>
      <c r="P48" s="10" t="s">
        <v>77</v>
      </c>
      <c r="Q48" s="11">
        <f>10*SUMPRODUCT(--(G48:P48&lt;&gt;""),--(((G48:P48=정답표!$C$2:$L$2)+(G48:P48=정답표!$C$3:$L$3))&gt;0))</f>
        <v>90</v>
      </c>
      <c r="R48" s="10" t="s">
        <v>78</v>
      </c>
      <c r="S48" s="10" t="s">
        <v>79</v>
      </c>
      <c r="T48" s="10" t="s">
        <v>80</v>
      </c>
      <c r="U48" s="10" t="s">
        <v>81</v>
      </c>
      <c r="V48" s="10" t="s">
        <v>82</v>
      </c>
      <c r="W48" s="10" t="s">
        <v>83</v>
      </c>
      <c r="X48" s="10" t="s">
        <v>84</v>
      </c>
      <c r="Y48" s="10" t="s">
        <v>85</v>
      </c>
      <c r="Z48" s="10" t="s">
        <v>86</v>
      </c>
      <c r="AA48" s="10" t="s">
        <v>86</v>
      </c>
      <c r="AB48" s="11">
        <f>10*SUMPRODUCT(--(R48:AA48&lt;&gt;""),--(((R48:AA48=정답표!$C$4:$L$4)+(R48:AA48=정답표!$C$5:$L$5))&gt;0))</f>
        <v>100</v>
      </c>
      <c r="AC48" s="10" t="s">
        <v>284</v>
      </c>
      <c r="AD48" s="10" t="s">
        <v>88</v>
      </c>
      <c r="AE48" s="10" t="s">
        <v>89</v>
      </c>
      <c r="AF48" s="10" t="s">
        <v>90</v>
      </c>
      <c r="AG48" s="10" t="s">
        <v>91</v>
      </c>
      <c r="AH48" s="10" t="s">
        <v>92</v>
      </c>
      <c r="AI48" s="10" t="s">
        <v>93</v>
      </c>
      <c r="AJ48" s="10" t="s">
        <v>94</v>
      </c>
      <c r="AK48" s="10" t="s">
        <v>86</v>
      </c>
      <c r="AL48" s="10" t="s">
        <v>86</v>
      </c>
      <c r="AM48" s="11">
        <f>10*SUMPRODUCT(--(AC48:AL48&lt;&gt;""),--(((AC48:AL48=정답표!$C$6:$L$6)+(AC48:AL48=정답표!$C$7:$L$7))&gt;0))</f>
        <v>90</v>
      </c>
      <c r="AN48" s="10" t="s">
        <v>243</v>
      </c>
      <c r="AO48" s="10" t="s">
        <v>244</v>
      </c>
      <c r="AP48" s="10" t="s">
        <v>245</v>
      </c>
      <c r="AQ48" s="10" t="s">
        <v>246</v>
      </c>
      <c r="AR48" s="10" t="s">
        <v>247</v>
      </c>
      <c r="AS48" s="10" t="s">
        <v>248</v>
      </c>
      <c r="AT48" s="10" t="s">
        <v>249</v>
      </c>
      <c r="AU48" s="10" t="s">
        <v>250</v>
      </c>
      <c r="AV48" s="10" t="s">
        <v>86</v>
      </c>
      <c r="AW48" s="10" t="s">
        <v>86</v>
      </c>
      <c r="AX48" s="11">
        <f>10*SUMPRODUCT(--(AN48:AW48&lt;&gt;""),--(((AN48:AW48=정답표!$C$8:$L$8)+(AN48:AW48=정답표!$C$9:$L$9))&gt;0))</f>
        <v>100</v>
      </c>
      <c r="AY48" s="10" t="s">
        <v>95</v>
      </c>
      <c r="AZ48" s="10" t="s">
        <v>96</v>
      </c>
      <c r="BA48" s="10" t="s">
        <v>97</v>
      </c>
      <c r="BB48" s="10" t="s">
        <v>98</v>
      </c>
      <c r="BC48" s="10" t="s">
        <v>99</v>
      </c>
      <c r="BD48" s="10" t="s">
        <v>100</v>
      </c>
      <c r="BE48" s="10" t="s">
        <v>101</v>
      </c>
      <c r="BF48" s="10" t="s">
        <v>86</v>
      </c>
      <c r="BG48" s="10" t="s">
        <v>86</v>
      </c>
      <c r="BH48" s="10" t="s">
        <v>102</v>
      </c>
      <c r="BI48" s="11">
        <f>10*SUMPRODUCT(--(AY48:BH48&lt;&gt;""),--(((AY48:BH48=정답표!$C$10:$L$10)+(AY48:BH48=정답표!$C$11:$L$11))&gt;0))</f>
        <v>100</v>
      </c>
      <c r="BJ48" s="11">
        <f t="shared" si="7"/>
        <v>480</v>
      </c>
      <c r="BK48" s="12">
        <f t="shared" si="8"/>
        <v>5</v>
      </c>
      <c r="BL48" s="28">
        <f>IF(QuizMatchTable[[#This Row],[분반]]=1, QuizMatchTable[[#This Row],[퀴즈합계]]/4 *0.3, QuizMatchTable[[#This Row],[퀴즈합계]]/5*0.3)</f>
        <v>28.799999999999997</v>
      </c>
      <c r="BM48" s="28">
        <v>30</v>
      </c>
      <c r="BN48" s="28">
        <v>18.39</v>
      </c>
      <c r="BO48" s="13"/>
      <c r="BP48" s="28">
        <f>SUM(QuizMatchTable[[#This Row],[퀴즈점수(30)]],BM48,BN48,BO48)</f>
        <v>77.19</v>
      </c>
      <c r="BQ48" s="13">
        <f t="shared" si="9"/>
        <v>12</v>
      </c>
      <c r="BR48" s="33" t="s">
        <v>655</v>
      </c>
      <c r="BS48" s="13">
        <v>0</v>
      </c>
      <c r="BT48" s="13"/>
    </row>
    <row r="49" spans="1:72" x14ac:dyDescent="0.3">
      <c r="A49" s="30" t="s">
        <v>64</v>
      </c>
      <c r="B49" s="8">
        <v>2</v>
      </c>
      <c r="C49" s="8">
        <v>20220170</v>
      </c>
      <c r="D49" s="9" t="s">
        <v>372</v>
      </c>
      <c r="E49" s="8" t="s">
        <v>373</v>
      </c>
      <c r="F49" s="9" t="s">
        <v>374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1"/>
      <c r="AC49" s="10" t="s">
        <v>284</v>
      </c>
      <c r="AD49" s="10" t="s">
        <v>88</v>
      </c>
      <c r="AE49" s="10" t="s">
        <v>89</v>
      </c>
      <c r="AF49" s="10" t="s">
        <v>90</v>
      </c>
      <c r="AG49" s="10" t="s">
        <v>91</v>
      </c>
      <c r="AH49" s="10" t="s">
        <v>92</v>
      </c>
      <c r="AI49" s="10" t="s">
        <v>93</v>
      </c>
      <c r="AJ49" s="10" t="s">
        <v>94</v>
      </c>
      <c r="AK49" s="10" t="s">
        <v>86</v>
      </c>
      <c r="AL49" s="10" t="s">
        <v>86</v>
      </c>
      <c r="AM49" s="11">
        <f>10*SUMPRODUCT(--(AC49:AL49&lt;&gt;""),--(((AC49:AL49=정답표!$C$6:$L$6)+(AC49:AL49=정답표!$C$7:$L$7))&gt;0))</f>
        <v>90</v>
      </c>
      <c r="AN49" s="10" t="s">
        <v>243</v>
      </c>
      <c r="AO49" s="10" t="s">
        <v>244</v>
      </c>
      <c r="AP49" s="10" t="s">
        <v>364</v>
      </c>
      <c r="AQ49" s="10" t="s">
        <v>246</v>
      </c>
      <c r="AR49" s="10" t="s">
        <v>247</v>
      </c>
      <c r="AS49" s="10" t="s">
        <v>347</v>
      </c>
      <c r="AT49" s="10" t="s">
        <v>321</v>
      </c>
      <c r="AU49" s="10" t="s">
        <v>250</v>
      </c>
      <c r="AV49" s="10" t="s">
        <v>86</v>
      </c>
      <c r="AW49" s="10" t="s">
        <v>86</v>
      </c>
      <c r="AX49" s="11">
        <f>10*SUMPRODUCT(--(AN49:AW49&lt;&gt;""),--(((AN49:AW49=정답표!$C$8:$L$8)+(AN49:AW49=정답표!$C$9:$L$9))&gt;0))</f>
        <v>70</v>
      </c>
      <c r="AY49" s="10" t="s">
        <v>95</v>
      </c>
      <c r="AZ49" s="10" t="s">
        <v>96</v>
      </c>
      <c r="BA49" s="10" t="s">
        <v>97</v>
      </c>
      <c r="BB49" s="10" t="s">
        <v>98</v>
      </c>
      <c r="BC49" s="10" t="s">
        <v>99</v>
      </c>
      <c r="BD49" s="10" t="s">
        <v>302</v>
      </c>
      <c r="BE49" s="10" t="s">
        <v>101</v>
      </c>
      <c r="BF49" s="10" t="s">
        <v>86</v>
      </c>
      <c r="BG49" s="10" t="s">
        <v>86</v>
      </c>
      <c r="BH49" s="10" t="s">
        <v>102</v>
      </c>
      <c r="BI49" s="11">
        <f>10*SUMPRODUCT(--(AY49:BH49&lt;&gt;""),--(((AY49:BH49=정답표!$C$10:$L$10)+(AY49:BH49=정답표!$C$11:$L$11))&gt;0))</f>
        <v>90</v>
      </c>
      <c r="BJ49" s="11">
        <f t="shared" si="7"/>
        <v>250</v>
      </c>
      <c r="BK49" s="12">
        <f t="shared" si="8"/>
        <v>3</v>
      </c>
      <c r="BL49" s="28">
        <f>IF(QuizMatchTable[[#This Row],[분반]]=1, QuizMatchTable[[#This Row],[퀴즈합계]]/4 *0.3, QuizMatchTable[[#This Row],[퀴즈합계]]/5*0.3)</f>
        <v>15</v>
      </c>
      <c r="BM49" s="28">
        <v>22.67</v>
      </c>
      <c r="BN49" s="28">
        <v>19.600000000000001</v>
      </c>
      <c r="BO49" s="13"/>
      <c r="BP49" s="28">
        <f>SUM(QuizMatchTable[[#This Row],[퀴즈점수(30)]],BM49,BN49,BO49)</f>
        <v>57.27</v>
      </c>
      <c r="BQ49" s="13">
        <f t="shared" si="9"/>
        <v>31</v>
      </c>
      <c r="BR49" s="33" t="s">
        <v>657</v>
      </c>
      <c r="BS49" s="13">
        <v>11</v>
      </c>
      <c r="BT49" s="13"/>
    </row>
    <row r="50" spans="1:72" x14ac:dyDescent="0.3">
      <c r="A50" s="30" t="s">
        <v>64</v>
      </c>
      <c r="B50" s="8">
        <v>2</v>
      </c>
      <c r="C50" s="8">
        <v>20220178</v>
      </c>
      <c r="D50" s="9" t="s">
        <v>295</v>
      </c>
      <c r="E50" s="8" t="s">
        <v>296</v>
      </c>
      <c r="F50" s="9" t="s">
        <v>297</v>
      </c>
      <c r="G50" s="10" t="s">
        <v>68</v>
      </c>
      <c r="H50" s="10" t="s">
        <v>69</v>
      </c>
      <c r="I50" s="10" t="s">
        <v>70</v>
      </c>
      <c r="J50" s="10" t="s">
        <v>71</v>
      </c>
      <c r="K50" s="10" t="s">
        <v>72</v>
      </c>
      <c r="L50" s="10" t="s">
        <v>73</v>
      </c>
      <c r="M50" s="10" t="s">
        <v>74</v>
      </c>
      <c r="N50" s="10" t="s">
        <v>75</v>
      </c>
      <c r="O50" s="10" t="s">
        <v>76</v>
      </c>
      <c r="P50" s="10" t="s">
        <v>77</v>
      </c>
      <c r="Q50" s="11">
        <f>10*SUMPRODUCT(--(G50:P50&lt;&gt;""),--(((G50:P50=정답표!$C$2:$L$2)+(G50:P50=정답표!$C$3:$L$3))&gt;0))</f>
        <v>100</v>
      </c>
      <c r="R50" s="10" t="s">
        <v>78</v>
      </c>
      <c r="S50" s="10" t="s">
        <v>79</v>
      </c>
      <c r="T50" s="10" t="s">
        <v>80</v>
      </c>
      <c r="U50" s="10" t="s">
        <v>81</v>
      </c>
      <c r="V50" s="10" t="s">
        <v>82</v>
      </c>
      <c r="W50" s="10" t="s">
        <v>83</v>
      </c>
      <c r="X50" s="10" t="s">
        <v>84</v>
      </c>
      <c r="Y50" s="10" t="s">
        <v>85</v>
      </c>
      <c r="Z50" s="10" t="s">
        <v>86</v>
      </c>
      <c r="AA50" s="10" t="s">
        <v>86</v>
      </c>
      <c r="AB50" s="11">
        <f>10*SUMPRODUCT(--(R50:AA50&lt;&gt;""),--(((R50:AA50=정답표!$C$4:$L$4)+(R50:AA50=정답표!$C$5:$L$5))&gt;0))</f>
        <v>100</v>
      </c>
      <c r="AC50" s="10" t="s">
        <v>284</v>
      </c>
      <c r="AD50" s="10" t="s">
        <v>88</v>
      </c>
      <c r="AE50" s="10" t="s">
        <v>298</v>
      </c>
      <c r="AF50" s="10" t="s">
        <v>90</v>
      </c>
      <c r="AG50" s="10" t="s">
        <v>91</v>
      </c>
      <c r="AH50" s="10" t="s">
        <v>92</v>
      </c>
      <c r="AI50" s="10" t="s">
        <v>93</v>
      </c>
      <c r="AJ50" s="10" t="s">
        <v>94</v>
      </c>
      <c r="AK50" s="10" t="s">
        <v>86</v>
      </c>
      <c r="AL50" s="10" t="s">
        <v>86</v>
      </c>
      <c r="AM50" s="11">
        <f>10*SUMPRODUCT(--(AC50:AL50&lt;&gt;""),--(((AC50:AL50=정답표!$C$6:$L$6)+(AC50:AL50=정답표!$C$7:$L$7))&gt;0))</f>
        <v>80</v>
      </c>
      <c r="AN50" s="10" t="s">
        <v>243</v>
      </c>
      <c r="AO50" s="10" t="s">
        <v>244</v>
      </c>
      <c r="AP50" s="10" t="s">
        <v>245</v>
      </c>
      <c r="AQ50" s="10" t="s">
        <v>246</v>
      </c>
      <c r="AR50" s="10" t="s">
        <v>247</v>
      </c>
      <c r="AS50" s="10" t="s">
        <v>248</v>
      </c>
      <c r="AT50" s="10" t="s">
        <v>249</v>
      </c>
      <c r="AU50" s="10" t="s">
        <v>250</v>
      </c>
      <c r="AV50" s="10" t="s">
        <v>86</v>
      </c>
      <c r="AW50" s="10" t="s">
        <v>86</v>
      </c>
      <c r="AX50" s="11">
        <f>10*SUMPRODUCT(--(AN50:AW50&lt;&gt;""),--(((AN50:AW50=정답표!$C$8:$L$8)+(AN50:AW50=정답표!$C$9:$L$9))&gt;0))</f>
        <v>100</v>
      </c>
      <c r="AY50" s="10" t="s">
        <v>95</v>
      </c>
      <c r="AZ50" s="10" t="s">
        <v>96</v>
      </c>
      <c r="BA50" s="10" t="s">
        <v>97</v>
      </c>
      <c r="BB50" s="10" t="s">
        <v>98</v>
      </c>
      <c r="BC50" s="10" t="s">
        <v>99</v>
      </c>
      <c r="BD50" s="10" t="s">
        <v>100</v>
      </c>
      <c r="BE50" s="10" t="s">
        <v>101</v>
      </c>
      <c r="BF50" s="10" t="s">
        <v>86</v>
      </c>
      <c r="BG50" s="10" t="s">
        <v>86</v>
      </c>
      <c r="BH50" s="10" t="s">
        <v>102</v>
      </c>
      <c r="BI50" s="11">
        <f>10*SUMPRODUCT(--(AY50:BH50&lt;&gt;""),--(((AY50:BH50=정답표!$C$10:$L$10)+(AY50:BH50=정답표!$C$11:$L$11))&gt;0))</f>
        <v>100</v>
      </c>
      <c r="BJ50" s="11">
        <f t="shared" si="7"/>
        <v>480</v>
      </c>
      <c r="BK50" s="12">
        <f t="shared" si="8"/>
        <v>5</v>
      </c>
      <c r="BL50" s="28">
        <f>IF(QuizMatchTable[[#This Row],[분반]]=1, QuizMatchTable[[#This Row],[퀴즈합계]]/4 *0.3, QuizMatchTable[[#This Row],[퀴즈합계]]/5*0.3)</f>
        <v>28.799999999999997</v>
      </c>
      <c r="BM50" s="28">
        <v>26</v>
      </c>
      <c r="BN50" s="28">
        <v>18.8</v>
      </c>
      <c r="BO50" s="13"/>
      <c r="BP50" s="28">
        <f>SUM(QuizMatchTable[[#This Row],[퀴즈점수(30)]],BM50,BN50,BO50)</f>
        <v>73.599999999999994</v>
      </c>
      <c r="BQ50" s="13">
        <f t="shared" si="9"/>
        <v>19</v>
      </c>
      <c r="BR50" s="33" t="s">
        <v>656</v>
      </c>
      <c r="BS50" s="13">
        <v>6</v>
      </c>
      <c r="BT50" s="13"/>
    </row>
    <row r="51" spans="1:72" x14ac:dyDescent="0.3">
      <c r="A51" s="30" t="s">
        <v>64</v>
      </c>
      <c r="B51" s="8">
        <v>2</v>
      </c>
      <c r="C51" s="8">
        <v>20220180</v>
      </c>
      <c r="D51" s="9" t="s">
        <v>369</v>
      </c>
      <c r="E51" s="8" t="s">
        <v>370</v>
      </c>
      <c r="F51" s="9" t="s">
        <v>371</v>
      </c>
      <c r="G51" s="10" t="s">
        <v>269</v>
      </c>
      <c r="H51" s="10" t="s">
        <v>69</v>
      </c>
      <c r="I51" s="10" t="s">
        <v>70</v>
      </c>
      <c r="J51" s="10" t="s">
        <v>71</v>
      </c>
      <c r="K51" s="10" t="s">
        <v>72</v>
      </c>
      <c r="L51" s="10" t="s">
        <v>73</v>
      </c>
      <c r="M51" s="10" t="s">
        <v>74</v>
      </c>
      <c r="N51" s="10" t="s">
        <v>75</v>
      </c>
      <c r="O51" s="10" t="s">
        <v>77</v>
      </c>
      <c r="P51" s="10" t="s">
        <v>76</v>
      </c>
      <c r="Q51" s="11">
        <f>10*SUMPRODUCT(--(G51:P51&lt;&gt;""),--(((G51:P51=정답표!$C$2:$L$2)+(G51:P51=정답표!$C$3:$L$3))&gt;0))</f>
        <v>70</v>
      </c>
      <c r="R51" s="10" t="s">
        <v>343</v>
      </c>
      <c r="S51" s="10" t="s">
        <v>79</v>
      </c>
      <c r="T51" s="10" t="s">
        <v>80</v>
      </c>
      <c r="U51" s="10" t="s">
        <v>81</v>
      </c>
      <c r="V51" s="10" t="s">
        <v>82</v>
      </c>
      <c r="W51" s="10" t="s">
        <v>83</v>
      </c>
      <c r="X51" s="10" t="s">
        <v>84</v>
      </c>
      <c r="Y51" s="10" t="s">
        <v>85</v>
      </c>
      <c r="Z51" s="10" t="s">
        <v>86</v>
      </c>
      <c r="AA51" s="10" t="s">
        <v>86</v>
      </c>
      <c r="AB51" s="11">
        <f>10*SUMPRODUCT(--(R51:AA51&lt;&gt;""),--(((R51:AA51=정답표!$C$4:$L$4)+(R51:AA51=정답표!$C$5:$L$5))&gt;0))</f>
        <v>90</v>
      </c>
      <c r="AC51" s="10" t="s">
        <v>87</v>
      </c>
      <c r="AD51" s="10" t="s">
        <v>88</v>
      </c>
      <c r="AE51" s="10" t="s">
        <v>89</v>
      </c>
      <c r="AF51" s="10" t="s">
        <v>90</v>
      </c>
      <c r="AG51" s="10" t="s">
        <v>91</v>
      </c>
      <c r="AH51" s="10" t="s">
        <v>92</v>
      </c>
      <c r="AI51" s="10" t="s">
        <v>93</v>
      </c>
      <c r="AJ51" s="10" t="s">
        <v>94</v>
      </c>
      <c r="AK51" s="10" t="s">
        <v>86</v>
      </c>
      <c r="AL51" s="10" t="s">
        <v>86</v>
      </c>
      <c r="AM51" s="11">
        <f>10*SUMPRODUCT(--(AC51:AL51&lt;&gt;""),--(((AC51:AL51=정답표!$C$6:$L$6)+(AC51:AL51=정답표!$C$7:$L$7))&gt;0))</f>
        <v>100</v>
      </c>
      <c r="AN51" s="10" t="s">
        <v>243</v>
      </c>
      <c r="AO51" s="10" t="s">
        <v>244</v>
      </c>
      <c r="AP51" s="10" t="s">
        <v>245</v>
      </c>
      <c r="AQ51" s="10" t="s">
        <v>246</v>
      </c>
      <c r="AR51" s="10" t="s">
        <v>247</v>
      </c>
      <c r="AS51" s="10" t="s">
        <v>248</v>
      </c>
      <c r="AT51" s="10" t="s">
        <v>249</v>
      </c>
      <c r="AU51" s="10" t="s">
        <v>250</v>
      </c>
      <c r="AV51" s="10" t="s">
        <v>86</v>
      </c>
      <c r="AW51" s="10" t="s">
        <v>86</v>
      </c>
      <c r="AX51" s="11">
        <f>10*SUMPRODUCT(--(AN51:AW51&lt;&gt;""),--(((AN51:AW51=정답표!$C$8:$L$8)+(AN51:AW51=정답표!$C$9:$L$9))&gt;0))</f>
        <v>100</v>
      </c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1"/>
      <c r="BJ51" s="11">
        <f t="shared" si="7"/>
        <v>360</v>
      </c>
      <c r="BK51" s="12">
        <f t="shared" si="8"/>
        <v>4</v>
      </c>
      <c r="BL51" s="28">
        <f>IF(QuizMatchTable[[#This Row],[분반]]=1, QuizMatchTable[[#This Row],[퀴즈합계]]/4 *0.3, QuizMatchTable[[#This Row],[퀴즈합계]]/5*0.3)</f>
        <v>21.599999999999998</v>
      </c>
      <c r="BM51" s="28">
        <v>28</v>
      </c>
      <c r="BN51" s="28">
        <v>17.600000000000001</v>
      </c>
      <c r="BO51" s="13"/>
      <c r="BP51" s="28">
        <f>SUM(QuizMatchTable[[#This Row],[퀴즈점수(30)]],BM51,BN51,BO51)</f>
        <v>67.199999999999989</v>
      </c>
      <c r="BQ51" s="13">
        <f t="shared" si="9"/>
        <v>27</v>
      </c>
      <c r="BR51" s="33" t="s">
        <v>657</v>
      </c>
      <c r="BS51" s="13">
        <v>3</v>
      </c>
      <c r="BT51" s="13"/>
    </row>
    <row r="52" spans="1:72" x14ac:dyDescent="0.3">
      <c r="A52" s="30" t="s">
        <v>64</v>
      </c>
      <c r="B52" s="8">
        <v>2</v>
      </c>
      <c r="C52" s="8">
        <v>20220181</v>
      </c>
      <c r="D52" s="9" t="s">
        <v>348</v>
      </c>
      <c r="E52" s="8" t="s">
        <v>349</v>
      </c>
      <c r="F52" s="9" t="s">
        <v>350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1"/>
      <c r="R52" s="10" t="s">
        <v>78</v>
      </c>
      <c r="S52" s="10" t="s">
        <v>79</v>
      </c>
      <c r="T52" s="10" t="s">
        <v>153</v>
      </c>
      <c r="U52" s="10" t="s">
        <v>81</v>
      </c>
      <c r="V52" s="10" t="s">
        <v>82</v>
      </c>
      <c r="W52" s="10" t="s">
        <v>83</v>
      </c>
      <c r="X52" s="10" t="s">
        <v>84</v>
      </c>
      <c r="Y52" s="10" t="s">
        <v>85</v>
      </c>
      <c r="Z52" s="10" t="s">
        <v>86</v>
      </c>
      <c r="AA52" s="10" t="s">
        <v>86</v>
      </c>
      <c r="AB52" s="11">
        <f>10*SUMPRODUCT(--(R52:AA52&lt;&gt;""),--(((R52:AA52=정답표!$C$4:$L$4)+(R52:AA52=정답표!$C$5:$L$5))&gt;0))</f>
        <v>90</v>
      </c>
      <c r="AC52" s="10" t="s">
        <v>87</v>
      </c>
      <c r="AD52" s="10" t="s">
        <v>88</v>
      </c>
      <c r="AE52" s="10" t="s">
        <v>89</v>
      </c>
      <c r="AF52" s="10" t="s">
        <v>90</v>
      </c>
      <c r="AG52" s="10" t="s">
        <v>91</v>
      </c>
      <c r="AH52" s="10" t="s">
        <v>92</v>
      </c>
      <c r="AI52" s="10" t="s">
        <v>93</v>
      </c>
      <c r="AJ52" s="10" t="s">
        <v>94</v>
      </c>
      <c r="AK52" s="10" t="s">
        <v>86</v>
      </c>
      <c r="AL52" s="10" t="s">
        <v>86</v>
      </c>
      <c r="AM52" s="11">
        <f>10*SUMPRODUCT(--(AC52:AL52&lt;&gt;""),--(((AC52:AL52=정답표!$C$6:$L$6)+(AC52:AL52=정답표!$C$7:$L$7))&gt;0))</f>
        <v>100</v>
      </c>
      <c r="AN52" s="10" t="s">
        <v>243</v>
      </c>
      <c r="AO52" s="10" t="s">
        <v>244</v>
      </c>
      <c r="AP52" s="10" t="s">
        <v>245</v>
      </c>
      <c r="AQ52" s="10" t="s">
        <v>246</v>
      </c>
      <c r="AR52" s="10" t="s">
        <v>247</v>
      </c>
      <c r="AS52" s="10" t="s">
        <v>248</v>
      </c>
      <c r="AT52" s="10" t="s">
        <v>249</v>
      </c>
      <c r="AU52" s="10" t="s">
        <v>250</v>
      </c>
      <c r="AV52" s="10" t="s">
        <v>86</v>
      </c>
      <c r="AW52" s="10" t="s">
        <v>86</v>
      </c>
      <c r="AX52" s="11">
        <f>10*SUMPRODUCT(--(AN52:AW52&lt;&gt;""),--(((AN52:AW52=정답표!$C$8:$L$8)+(AN52:AW52=정답표!$C$9:$L$9))&gt;0))</f>
        <v>100</v>
      </c>
      <c r="AY52" s="10" t="s">
        <v>95</v>
      </c>
      <c r="AZ52" s="10" t="s">
        <v>96</v>
      </c>
      <c r="BA52" s="10" t="s">
        <v>97</v>
      </c>
      <c r="BB52" s="10" t="s">
        <v>98</v>
      </c>
      <c r="BC52" s="10" t="s">
        <v>99</v>
      </c>
      <c r="BD52" s="10" t="s">
        <v>100</v>
      </c>
      <c r="BE52" s="10" t="s">
        <v>101</v>
      </c>
      <c r="BF52" s="10" t="s">
        <v>86</v>
      </c>
      <c r="BG52" s="10" t="s">
        <v>86</v>
      </c>
      <c r="BH52" s="10" t="s">
        <v>102</v>
      </c>
      <c r="BI52" s="11">
        <f>10*SUMPRODUCT(--(AY52:BH52&lt;&gt;""),--(((AY52:BH52=정답표!$C$10:$L$10)+(AY52:BH52=정답표!$C$11:$L$11))&gt;0))</f>
        <v>100</v>
      </c>
      <c r="BJ52" s="11">
        <f t="shared" si="7"/>
        <v>390</v>
      </c>
      <c r="BK52" s="12">
        <f t="shared" si="8"/>
        <v>4</v>
      </c>
      <c r="BL52" s="28">
        <f>IF(QuizMatchTable[[#This Row],[분반]]=1, QuizMatchTable[[#This Row],[퀴즈합계]]/4 *0.3, QuizMatchTable[[#This Row],[퀴즈합계]]/5*0.3)</f>
        <v>23.4</v>
      </c>
      <c r="BM52" s="28">
        <v>26</v>
      </c>
      <c r="BN52" s="28">
        <v>19.600000000000001</v>
      </c>
      <c r="BO52" s="13"/>
      <c r="BP52" s="28">
        <f>SUM(QuizMatchTable[[#This Row],[퀴즈점수(30)]],BM52,BN52,BO52)</f>
        <v>69</v>
      </c>
      <c r="BQ52" s="13">
        <f t="shared" si="9"/>
        <v>24</v>
      </c>
      <c r="BR52" s="33" t="s">
        <v>657</v>
      </c>
      <c r="BS52" s="13">
        <v>6</v>
      </c>
      <c r="BT52" s="13"/>
    </row>
    <row r="53" spans="1:72" x14ac:dyDescent="0.3">
      <c r="A53" s="30" t="s">
        <v>64</v>
      </c>
      <c r="B53" s="8">
        <v>2</v>
      </c>
      <c r="C53" s="8">
        <v>20220182</v>
      </c>
      <c r="D53" s="9" t="s">
        <v>266</v>
      </c>
      <c r="E53" s="8" t="s">
        <v>267</v>
      </c>
      <c r="F53" s="9" t="s">
        <v>268</v>
      </c>
      <c r="G53" s="10" t="s">
        <v>269</v>
      </c>
      <c r="H53" s="10" t="s">
        <v>69</v>
      </c>
      <c r="I53" s="10" t="s">
        <v>70</v>
      </c>
      <c r="J53" s="10" t="s">
        <v>71</v>
      </c>
      <c r="K53" s="10" t="s">
        <v>72</v>
      </c>
      <c r="L53" s="10" t="s">
        <v>73</v>
      </c>
      <c r="M53" s="10" t="s">
        <v>74</v>
      </c>
      <c r="N53" s="10" t="s">
        <v>75</v>
      </c>
      <c r="O53" s="10" t="s">
        <v>76</v>
      </c>
      <c r="P53" s="10" t="s">
        <v>77</v>
      </c>
      <c r="Q53" s="11">
        <f>10*SUMPRODUCT(--(G53:P53&lt;&gt;""),--(((G53:P53=정답표!$C$2:$L$2)+(G53:P53=정답표!$C$3:$L$3))&gt;0))</f>
        <v>90</v>
      </c>
      <c r="R53" s="10" t="s">
        <v>78</v>
      </c>
      <c r="S53" s="10" t="s">
        <v>79</v>
      </c>
      <c r="T53" s="10" t="s">
        <v>80</v>
      </c>
      <c r="U53" s="10" t="s">
        <v>81</v>
      </c>
      <c r="V53" s="10" t="s">
        <v>82</v>
      </c>
      <c r="W53" s="10" t="s">
        <v>83</v>
      </c>
      <c r="X53" s="10" t="s">
        <v>84</v>
      </c>
      <c r="Y53" s="10" t="s">
        <v>85</v>
      </c>
      <c r="Z53" s="10" t="s">
        <v>86</v>
      </c>
      <c r="AA53" s="10" t="s">
        <v>86</v>
      </c>
      <c r="AB53" s="11">
        <f>10*SUMPRODUCT(--(R53:AA53&lt;&gt;""),--(((R53:AA53=정답표!$C$4:$L$4)+(R53:AA53=정답표!$C$5:$L$5))&gt;0))</f>
        <v>100</v>
      </c>
      <c r="AC53" s="10" t="s">
        <v>87</v>
      </c>
      <c r="AD53" s="10" t="s">
        <v>88</v>
      </c>
      <c r="AE53" s="10" t="s">
        <v>89</v>
      </c>
      <c r="AF53" s="10" t="s">
        <v>90</v>
      </c>
      <c r="AG53" s="10" t="s">
        <v>91</v>
      </c>
      <c r="AH53" s="10" t="s">
        <v>92</v>
      </c>
      <c r="AI53" s="10" t="s">
        <v>93</v>
      </c>
      <c r="AJ53" s="10" t="s">
        <v>94</v>
      </c>
      <c r="AK53" s="10" t="s">
        <v>86</v>
      </c>
      <c r="AL53" s="10" t="s">
        <v>86</v>
      </c>
      <c r="AM53" s="11">
        <f>10*SUMPRODUCT(--(AC53:AL53&lt;&gt;""),--(((AC53:AL53=정답표!$C$6:$L$6)+(AC53:AL53=정답표!$C$7:$L$7))&gt;0))</f>
        <v>100</v>
      </c>
      <c r="AN53" s="10" t="s">
        <v>243</v>
      </c>
      <c r="AO53" s="10" t="s">
        <v>244</v>
      </c>
      <c r="AP53" s="10" t="s">
        <v>245</v>
      </c>
      <c r="AQ53" s="10" t="s">
        <v>246</v>
      </c>
      <c r="AR53" s="10" t="s">
        <v>247</v>
      </c>
      <c r="AS53" s="10" t="s">
        <v>248</v>
      </c>
      <c r="AT53" s="10" t="s">
        <v>249</v>
      </c>
      <c r="AU53" s="10" t="s">
        <v>250</v>
      </c>
      <c r="AV53" s="10" t="s">
        <v>86</v>
      </c>
      <c r="AW53" s="10" t="s">
        <v>86</v>
      </c>
      <c r="AX53" s="11">
        <f>10*SUMPRODUCT(--(AN53:AW53&lt;&gt;""),--(((AN53:AW53=정답표!$C$8:$L$8)+(AN53:AW53=정답표!$C$9:$L$9))&gt;0))</f>
        <v>100</v>
      </c>
      <c r="AY53" s="10" t="s">
        <v>95</v>
      </c>
      <c r="AZ53" s="10" t="s">
        <v>96</v>
      </c>
      <c r="BA53" s="10" t="s">
        <v>97</v>
      </c>
      <c r="BB53" s="10" t="s">
        <v>98</v>
      </c>
      <c r="BC53" s="10" t="s">
        <v>99</v>
      </c>
      <c r="BD53" s="10" t="s">
        <v>100</v>
      </c>
      <c r="BE53" s="10" t="s">
        <v>101</v>
      </c>
      <c r="BF53" s="10" t="s">
        <v>86</v>
      </c>
      <c r="BG53" s="10" t="s">
        <v>86</v>
      </c>
      <c r="BH53" s="10" t="s">
        <v>102</v>
      </c>
      <c r="BI53" s="11">
        <f>10*SUMPRODUCT(--(AY53:BH53&lt;&gt;""),--(((AY53:BH53=정답표!$C$10:$L$10)+(AY53:BH53=정답표!$C$11:$L$11))&gt;0))</f>
        <v>100</v>
      </c>
      <c r="BJ53" s="11">
        <f t="shared" si="7"/>
        <v>490</v>
      </c>
      <c r="BK53" s="12">
        <f t="shared" si="8"/>
        <v>5</v>
      </c>
      <c r="BL53" s="28">
        <f>IF(QuizMatchTable[[#This Row],[분반]]=1, QuizMatchTable[[#This Row],[퀴즈합계]]/4 *0.3, QuizMatchTable[[#This Row],[퀴즈합계]]/5*0.3)</f>
        <v>29.4</v>
      </c>
      <c r="BM53" s="28">
        <v>30</v>
      </c>
      <c r="BN53" s="28">
        <v>19.600000000000001</v>
      </c>
      <c r="BO53" s="13"/>
      <c r="BP53" s="28">
        <f>SUM(QuizMatchTable[[#This Row],[퀴즈점수(30)]],BM53,BN53,BO53)</f>
        <v>79</v>
      </c>
      <c r="BQ53" s="13">
        <f t="shared" si="9"/>
        <v>2</v>
      </c>
      <c r="BR53" s="33" t="s">
        <v>653</v>
      </c>
      <c r="BS53" s="13">
        <v>0</v>
      </c>
      <c r="BT53" s="13"/>
    </row>
    <row r="54" spans="1:72" x14ac:dyDescent="0.3">
      <c r="A54" s="30" t="s">
        <v>64</v>
      </c>
      <c r="B54" s="8">
        <v>2</v>
      </c>
      <c r="C54" s="8">
        <v>20220184</v>
      </c>
      <c r="D54" s="9" t="s">
        <v>270</v>
      </c>
      <c r="E54" s="8" t="s">
        <v>271</v>
      </c>
      <c r="F54" s="9" t="s">
        <v>272</v>
      </c>
      <c r="G54" s="10" t="s">
        <v>269</v>
      </c>
      <c r="H54" s="10" t="s">
        <v>69</v>
      </c>
      <c r="I54" s="10" t="s">
        <v>70</v>
      </c>
      <c r="J54" s="10" t="s">
        <v>71</v>
      </c>
      <c r="K54" s="10" t="s">
        <v>72</v>
      </c>
      <c r="L54" s="10" t="s">
        <v>73</v>
      </c>
      <c r="M54" s="10" t="s">
        <v>74</v>
      </c>
      <c r="N54" s="10" t="s">
        <v>75</v>
      </c>
      <c r="O54" s="10" t="s">
        <v>76</v>
      </c>
      <c r="P54" s="10" t="s">
        <v>77</v>
      </c>
      <c r="Q54" s="11">
        <f>10*SUMPRODUCT(--(G54:P54&lt;&gt;""),--(((G54:P54=정답표!$C$2:$L$2)+(G54:P54=정답표!$C$3:$L$3))&gt;0))</f>
        <v>90</v>
      </c>
      <c r="R54" s="10" t="s">
        <v>78</v>
      </c>
      <c r="S54" s="10" t="s">
        <v>79</v>
      </c>
      <c r="T54" s="10" t="s">
        <v>80</v>
      </c>
      <c r="U54" s="10" t="s">
        <v>81</v>
      </c>
      <c r="V54" s="10" t="s">
        <v>82</v>
      </c>
      <c r="W54" s="10" t="s">
        <v>83</v>
      </c>
      <c r="X54" s="10" t="s">
        <v>84</v>
      </c>
      <c r="Y54" s="10" t="s">
        <v>85</v>
      </c>
      <c r="Z54" s="10" t="s">
        <v>86</v>
      </c>
      <c r="AA54" s="10" t="s">
        <v>86</v>
      </c>
      <c r="AB54" s="11">
        <f>10*SUMPRODUCT(--(R54:AA54&lt;&gt;""),--(((R54:AA54=정답표!$C$4:$L$4)+(R54:AA54=정답표!$C$5:$L$5))&gt;0))</f>
        <v>100</v>
      </c>
      <c r="AC54" s="10" t="s">
        <v>87</v>
      </c>
      <c r="AD54" s="10" t="s">
        <v>88</v>
      </c>
      <c r="AE54" s="10" t="s">
        <v>89</v>
      </c>
      <c r="AF54" s="10" t="s">
        <v>90</v>
      </c>
      <c r="AG54" s="10" t="s">
        <v>91</v>
      </c>
      <c r="AH54" s="10" t="s">
        <v>92</v>
      </c>
      <c r="AI54" s="10" t="s">
        <v>93</v>
      </c>
      <c r="AJ54" s="10" t="s">
        <v>94</v>
      </c>
      <c r="AK54" s="10" t="s">
        <v>86</v>
      </c>
      <c r="AL54" s="10" t="s">
        <v>86</v>
      </c>
      <c r="AM54" s="11">
        <f>10*SUMPRODUCT(--(AC54:AL54&lt;&gt;""),--(((AC54:AL54=정답표!$C$6:$L$6)+(AC54:AL54=정답표!$C$7:$L$7))&gt;0))</f>
        <v>100</v>
      </c>
      <c r="AN54" s="10" t="s">
        <v>243</v>
      </c>
      <c r="AO54" s="10" t="s">
        <v>244</v>
      </c>
      <c r="AP54" s="10" t="s">
        <v>245</v>
      </c>
      <c r="AQ54" s="10" t="s">
        <v>246</v>
      </c>
      <c r="AR54" s="10" t="s">
        <v>247</v>
      </c>
      <c r="AS54" s="10" t="s">
        <v>248</v>
      </c>
      <c r="AT54" s="10" t="s">
        <v>249</v>
      </c>
      <c r="AU54" s="10" t="s">
        <v>250</v>
      </c>
      <c r="AV54" s="10" t="s">
        <v>86</v>
      </c>
      <c r="AW54" s="10" t="s">
        <v>86</v>
      </c>
      <c r="AX54" s="11">
        <f>10*SUMPRODUCT(--(AN54:AW54&lt;&gt;""),--(((AN54:AW54=정답표!$C$8:$L$8)+(AN54:AW54=정답표!$C$9:$L$9))&gt;0))</f>
        <v>100</v>
      </c>
      <c r="AY54" s="10" t="s">
        <v>95</v>
      </c>
      <c r="AZ54" s="10" t="s">
        <v>96</v>
      </c>
      <c r="BA54" s="10" t="s">
        <v>97</v>
      </c>
      <c r="BB54" s="10" t="s">
        <v>98</v>
      </c>
      <c r="BC54" s="10" t="s">
        <v>99</v>
      </c>
      <c r="BD54" s="10" t="s">
        <v>100</v>
      </c>
      <c r="BE54" s="10" t="s">
        <v>101</v>
      </c>
      <c r="BF54" s="10" t="s">
        <v>86</v>
      </c>
      <c r="BG54" s="10" t="s">
        <v>86</v>
      </c>
      <c r="BH54" s="10" t="s">
        <v>102</v>
      </c>
      <c r="BI54" s="11">
        <f>10*SUMPRODUCT(--(AY54:BH54&lt;&gt;""),--(((AY54:BH54=정답표!$C$10:$L$10)+(AY54:BH54=정답표!$C$11:$L$11))&gt;0))</f>
        <v>100</v>
      </c>
      <c r="BJ54" s="11">
        <f t="shared" si="7"/>
        <v>490</v>
      </c>
      <c r="BK54" s="12">
        <f t="shared" si="8"/>
        <v>5</v>
      </c>
      <c r="BL54" s="28">
        <f>IF(QuizMatchTable[[#This Row],[분반]]=1, QuizMatchTable[[#This Row],[퀴즈합계]]/4 *0.3, QuizMatchTable[[#This Row],[퀴즈합계]]/5*0.3)</f>
        <v>29.4</v>
      </c>
      <c r="BM54" s="28">
        <v>30</v>
      </c>
      <c r="BN54" s="28">
        <v>16</v>
      </c>
      <c r="BO54" s="13"/>
      <c r="BP54" s="28">
        <f>SUM(QuizMatchTable[[#This Row],[퀴즈점수(30)]],BM54,BN54,BO54)</f>
        <v>75.400000000000006</v>
      </c>
      <c r="BQ54" s="13">
        <f t="shared" si="9"/>
        <v>16</v>
      </c>
      <c r="BR54" s="33" t="s">
        <v>655</v>
      </c>
      <c r="BS54" s="13">
        <v>0</v>
      </c>
      <c r="BT54" s="13"/>
    </row>
    <row r="55" spans="1:72" x14ac:dyDescent="0.3">
      <c r="A55" s="30" t="s">
        <v>64</v>
      </c>
      <c r="B55" s="8">
        <v>2</v>
      </c>
      <c r="C55" s="8">
        <v>20220185</v>
      </c>
      <c r="D55" s="9" t="s">
        <v>254</v>
      </c>
      <c r="E55" s="8" t="s">
        <v>255</v>
      </c>
      <c r="F55" s="9" t="s">
        <v>256</v>
      </c>
      <c r="G55" s="10" t="s">
        <v>68</v>
      </c>
      <c r="H55" s="10" t="s">
        <v>69</v>
      </c>
      <c r="I55" s="10" t="s">
        <v>70</v>
      </c>
      <c r="J55" s="10" t="s">
        <v>71</v>
      </c>
      <c r="K55" s="10" t="s">
        <v>72</v>
      </c>
      <c r="L55" s="10" t="s">
        <v>73</v>
      </c>
      <c r="M55" s="10" t="s">
        <v>74</v>
      </c>
      <c r="N55" s="10" t="s">
        <v>75</v>
      </c>
      <c r="O55" s="10" t="s">
        <v>76</v>
      </c>
      <c r="P55" s="10" t="s">
        <v>77</v>
      </c>
      <c r="Q55" s="11">
        <f>10*SUMPRODUCT(--(G55:P55&lt;&gt;""),--(((G55:P55=정답표!$C$2:$L$2)+(G55:P55=정답표!$C$3:$L$3))&gt;0))</f>
        <v>100</v>
      </c>
      <c r="R55" s="10" t="s">
        <v>78</v>
      </c>
      <c r="S55" s="10" t="s">
        <v>79</v>
      </c>
      <c r="T55" s="10" t="s">
        <v>80</v>
      </c>
      <c r="U55" s="10" t="s">
        <v>81</v>
      </c>
      <c r="V55" s="10" t="s">
        <v>82</v>
      </c>
      <c r="W55" s="10" t="s">
        <v>83</v>
      </c>
      <c r="X55" s="10" t="s">
        <v>84</v>
      </c>
      <c r="Y55" s="10" t="s">
        <v>85</v>
      </c>
      <c r="Z55" s="10" t="s">
        <v>86</v>
      </c>
      <c r="AA55" s="10" t="s">
        <v>86</v>
      </c>
      <c r="AB55" s="11">
        <f>10*SUMPRODUCT(--(R55:AA55&lt;&gt;""),--(((R55:AA55=정답표!$C$4:$L$4)+(R55:AA55=정답표!$C$5:$L$5))&gt;0))</f>
        <v>100</v>
      </c>
      <c r="AC55" s="10" t="s">
        <v>87</v>
      </c>
      <c r="AD55" s="10" t="s">
        <v>88</v>
      </c>
      <c r="AE55" s="10" t="s">
        <v>89</v>
      </c>
      <c r="AF55" s="10" t="s">
        <v>90</v>
      </c>
      <c r="AG55" s="10" t="s">
        <v>91</v>
      </c>
      <c r="AH55" s="10" t="s">
        <v>92</v>
      </c>
      <c r="AI55" s="10" t="s">
        <v>93</v>
      </c>
      <c r="AJ55" s="10" t="s">
        <v>94</v>
      </c>
      <c r="AK55" s="10" t="s">
        <v>86</v>
      </c>
      <c r="AL55" s="10" t="s">
        <v>86</v>
      </c>
      <c r="AM55" s="11">
        <f>10*SUMPRODUCT(--(AC55:AL55&lt;&gt;""),--(((AC55:AL55=정답표!$C$6:$L$6)+(AC55:AL55=정답표!$C$7:$L$7))&gt;0))</f>
        <v>100</v>
      </c>
      <c r="AN55" s="10" t="s">
        <v>243</v>
      </c>
      <c r="AO55" s="10" t="s">
        <v>244</v>
      </c>
      <c r="AP55" s="10" t="s">
        <v>245</v>
      </c>
      <c r="AQ55" s="10" t="s">
        <v>246</v>
      </c>
      <c r="AR55" s="10" t="s">
        <v>247</v>
      </c>
      <c r="AS55" s="10" t="s">
        <v>248</v>
      </c>
      <c r="AT55" s="10" t="s">
        <v>249</v>
      </c>
      <c r="AU55" s="10" t="s">
        <v>250</v>
      </c>
      <c r="AV55" s="10" t="s">
        <v>86</v>
      </c>
      <c r="AW55" s="10" t="s">
        <v>86</v>
      </c>
      <c r="AX55" s="11">
        <f>10*SUMPRODUCT(--(AN55:AW55&lt;&gt;""),--(((AN55:AW55=정답표!$C$8:$L$8)+(AN55:AW55=정답표!$C$9:$L$9))&gt;0))</f>
        <v>100</v>
      </c>
      <c r="AY55" s="10" t="s">
        <v>95</v>
      </c>
      <c r="AZ55" s="10" t="s">
        <v>96</v>
      </c>
      <c r="BA55" s="10" t="s">
        <v>97</v>
      </c>
      <c r="BB55" s="10" t="s">
        <v>98</v>
      </c>
      <c r="BC55" s="10" t="s">
        <v>99</v>
      </c>
      <c r="BD55" s="10" t="s">
        <v>100</v>
      </c>
      <c r="BE55" s="10" t="s">
        <v>101</v>
      </c>
      <c r="BF55" s="10" t="s">
        <v>86</v>
      </c>
      <c r="BG55" s="10" t="s">
        <v>86</v>
      </c>
      <c r="BH55" s="10" t="s">
        <v>102</v>
      </c>
      <c r="BI55" s="11">
        <f>10*SUMPRODUCT(--(AY55:BH55&lt;&gt;""),--(((AY55:BH55=정답표!$C$10:$L$10)+(AY55:BH55=정답표!$C$11:$L$11))&gt;0))</f>
        <v>100</v>
      </c>
      <c r="BJ55" s="11">
        <f t="shared" si="7"/>
        <v>500</v>
      </c>
      <c r="BK55" s="12">
        <f t="shared" si="8"/>
        <v>5</v>
      </c>
      <c r="BL55" s="28">
        <f>IF(QuizMatchTable[[#This Row],[분반]]=1, QuizMatchTable[[#This Row],[퀴즈합계]]/4 *0.3, QuizMatchTable[[#This Row],[퀴즈합계]]/5*0.3)</f>
        <v>30</v>
      </c>
      <c r="BM55" s="28">
        <v>30</v>
      </c>
      <c r="BN55" s="28">
        <v>19.600000000000001</v>
      </c>
      <c r="BO55" s="13"/>
      <c r="BP55" s="28">
        <f>SUM(QuizMatchTable[[#This Row],[퀴즈점수(30)]],BM55,BN55,BO55)</f>
        <v>79.599999999999994</v>
      </c>
      <c r="BQ55" s="13">
        <f t="shared" si="9"/>
        <v>1</v>
      </c>
      <c r="BR55" s="33" t="s">
        <v>653</v>
      </c>
      <c r="BS55" s="13">
        <v>0</v>
      </c>
      <c r="BT55" s="13"/>
    </row>
    <row r="56" spans="1:72" x14ac:dyDescent="0.3">
      <c r="A56" s="30" t="s">
        <v>64</v>
      </c>
      <c r="B56" s="8">
        <v>2</v>
      </c>
      <c r="C56" s="8">
        <v>20220188</v>
      </c>
      <c r="D56" s="9" t="s">
        <v>257</v>
      </c>
      <c r="E56" s="8" t="s">
        <v>258</v>
      </c>
      <c r="F56" s="9" t="s">
        <v>259</v>
      </c>
      <c r="G56" s="10" t="s">
        <v>68</v>
      </c>
      <c r="H56" s="10" t="s">
        <v>69</v>
      </c>
      <c r="I56" s="10" t="s">
        <v>70</v>
      </c>
      <c r="J56" s="10" t="s">
        <v>71</v>
      </c>
      <c r="K56" s="10" t="s">
        <v>72</v>
      </c>
      <c r="L56" s="10" t="s">
        <v>73</v>
      </c>
      <c r="M56" s="10" t="s">
        <v>74</v>
      </c>
      <c r="N56" s="10" t="s">
        <v>75</v>
      </c>
      <c r="O56" s="10" t="s">
        <v>76</v>
      </c>
      <c r="P56" s="10" t="s">
        <v>77</v>
      </c>
      <c r="Q56" s="11">
        <f>10*SUMPRODUCT(--(G56:P56&lt;&gt;""),--(((G56:P56=정답표!$C$2:$L$2)+(G56:P56=정답표!$C$3:$L$3))&gt;0))</f>
        <v>100</v>
      </c>
      <c r="R56" s="10" t="s">
        <v>78</v>
      </c>
      <c r="S56" s="10" t="s">
        <v>79</v>
      </c>
      <c r="T56" s="10" t="s">
        <v>80</v>
      </c>
      <c r="U56" s="10" t="s">
        <v>81</v>
      </c>
      <c r="V56" s="10" t="s">
        <v>82</v>
      </c>
      <c r="W56" s="10" t="s">
        <v>83</v>
      </c>
      <c r="X56" s="10" t="s">
        <v>84</v>
      </c>
      <c r="Y56" s="10" t="s">
        <v>85</v>
      </c>
      <c r="Z56" s="10" t="s">
        <v>86</v>
      </c>
      <c r="AA56" s="10" t="s">
        <v>86</v>
      </c>
      <c r="AB56" s="11">
        <f>10*SUMPRODUCT(--(R56:AA56&lt;&gt;""),--(((R56:AA56=정답표!$C$4:$L$4)+(R56:AA56=정답표!$C$5:$L$5))&gt;0))</f>
        <v>100</v>
      </c>
      <c r="AC56" s="10" t="s">
        <v>87</v>
      </c>
      <c r="AD56" s="10" t="s">
        <v>88</v>
      </c>
      <c r="AE56" s="10" t="s">
        <v>89</v>
      </c>
      <c r="AF56" s="10" t="s">
        <v>90</v>
      </c>
      <c r="AG56" s="10" t="s">
        <v>91</v>
      </c>
      <c r="AH56" s="10" t="s">
        <v>92</v>
      </c>
      <c r="AI56" s="10" t="s">
        <v>93</v>
      </c>
      <c r="AJ56" s="10" t="s">
        <v>94</v>
      </c>
      <c r="AK56" s="10" t="s">
        <v>86</v>
      </c>
      <c r="AL56" s="10" t="s">
        <v>86</v>
      </c>
      <c r="AM56" s="11">
        <f>10*SUMPRODUCT(--(AC56:AL56&lt;&gt;""),--(((AC56:AL56=정답표!$C$6:$L$6)+(AC56:AL56=정답표!$C$7:$L$7))&gt;0))</f>
        <v>100</v>
      </c>
      <c r="AN56" s="10" t="s">
        <v>243</v>
      </c>
      <c r="AO56" s="10" t="s">
        <v>244</v>
      </c>
      <c r="AP56" s="10" t="s">
        <v>245</v>
      </c>
      <c r="AQ56" s="10" t="s">
        <v>246</v>
      </c>
      <c r="AR56" s="10" t="s">
        <v>247</v>
      </c>
      <c r="AS56" s="10" t="s">
        <v>248</v>
      </c>
      <c r="AT56" s="10" t="s">
        <v>249</v>
      </c>
      <c r="AU56" s="10" t="s">
        <v>250</v>
      </c>
      <c r="AV56" s="10" t="s">
        <v>86</v>
      </c>
      <c r="AW56" s="10" t="s">
        <v>86</v>
      </c>
      <c r="AX56" s="11">
        <f>10*SUMPRODUCT(--(AN56:AW56&lt;&gt;""),--(((AN56:AW56=정답표!$C$8:$L$8)+(AN56:AW56=정답표!$C$9:$L$9))&gt;0))</f>
        <v>100</v>
      </c>
      <c r="AY56" s="10" t="s">
        <v>95</v>
      </c>
      <c r="AZ56" s="10" t="s">
        <v>96</v>
      </c>
      <c r="BA56" s="10" t="s">
        <v>97</v>
      </c>
      <c r="BB56" s="10" t="s">
        <v>98</v>
      </c>
      <c r="BC56" s="10" t="s">
        <v>99</v>
      </c>
      <c r="BD56" s="10" t="s">
        <v>100</v>
      </c>
      <c r="BE56" s="10" t="s">
        <v>101</v>
      </c>
      <c r="BF56" s="10" t="s">
        <v>86</v>
      </c>
      <c r="BG56" s="10" t="s">
        <v>86</v>
      </c>
      <c r="BH56" s="10" t="s">
        <v>102</v>
      </c>
      <c r="BI56" s="11">
        <f>10*SUMPRODUCT(--(AY56:BH56&lt;&gt;""),--(((AY56:BH56=정답표!$C$10:$L$10)+(AY56:BH56=정답표!$C$11:$L$11))&gt;0))</f>
        <v>100</v>
      </c>
      <c r="BJ56" s="11">
        <f t="shared" si="7"/>
        <v>500</v>
      </c>
      <c r="BK56" s="12">
        <f t="shared" si="8"/>
        <v>5</v>
      </c>
      <c r="BL56" s="28">
        <f>IF(QuizMatchTable[[#This Row],[분반]]=1, QuizMatchTable[[#This Row],[퀴즈합계]]/4 *0.3, QuizMatchTable[[#This Row],[퀴즈합계]]/5*0.3)</f>
        <v>30</v>
      </c>
      <c r="BM56" s="28">
        <v>30</v>
      </c>
      <c r="BN56" s="28">
        <v>18</v>
      </c>
      <c r="BO56" s="13"/>
      <c r="BP56" s="28">
        <f>SUM(QuizMatchTable[[#This Row],[퀴즈점수(30)]],BM56,BN56,BO56)</f>
        <v>78</v>
      </c>
      <c r="BQ56" s="13">
        <f t="shared" si="9"/>
        <v>8</v>
      </c>
      <c r="BR56" s="33" t="s">
        <v>654</v>
      </c>
      <c r="BS56" s="13">
        <v>0</v>
      </c>
      <c r="BT56" s="13"/>
    </row>
    <row r="57" spans="1:72" x14ac:dyDescent="0.3">
      <c r="A57" s="30" t="s">
        <v>64</v>
      </c>
      <c r="B57" s="8">
        <v>2</v>
      </c>
      <c r="C57" s="8">
        <v>20220190</v>
      </c>
      <c r="D57" s="9" t="s">
        <v>323</v>
      </c>
      <c r="E57" s="8" t="s">
        <v>324</v>
      </c>
      <c r="F57" s="9" t="s">
        <v>325</v>
      </c>
      <c r="G57" s="10" t="s">
        <v>68</v>
      </c>
      <c r="H57" s="10" t="s">
        <v>69</v>
      </c>
      <c r="I57" s="10" t="s">
        <v>70</v>
      </c>
      <c r="J57" s="10"/>
      <c r="K57" s="10" t="s">
        <v>72</v>
      </c>
      <c r="L57" s="10" t="s">
        <v>198</v>
      </c>
      <c r="M57" s="10" t="s">
        <v>326</v>
      </c>
      <c r="N57" s="10" t="s">
        <v>75</v>
      </c>
      <c r="O57" s="10" t="s">
        <v>77</v>
      </c>
      <c r="P57" s="10" t="s">
        <v>77</v>
      </c>
      <c r="Q57" s="11">
        <f>10*SUMPRODUCT(--(G57:P57&lt;&gt;""),--(((G57:P57=정답표!$C$2:$L$2)+(G57:P57=정답표!$C$3:$L$3))&gt;0))</f>
        <v>60</v>
      </c>
      <c r="R57" s="10" t="s">
        <v>78</v>
      </c>
      <c r="S57" s="10" t="s">
        <v>79</v>
      </c>
      <c r="T57" s="10" t="s">
        <v>153</v>
      </c>
      <c r="U57" s="10" t="s">
        <v>81</v>
      </c>
      <c r="V57" s="10" t="s">
        <v>82</v>
      </c>
      <c r="W57" s="10" t="s">
        <v>83</v>
      </c>
      <c r="X57" s="10" t="s">
        <v>84</v>
      </c>
      <c r="Y57" s="10" t="s">
        <v>85</v>
      </c>
      <c r="Z57" s="10" t="s">
        <v>86</v>
      </c>
      <c r="AA57" s="10" t="s">
        <v>86</v>
      </c>
      <c r="AB57" s="11">
        <f>10*SUMPRODUCT(--(R57:AA57&lt;&gt;""),--(((R57:AA57=정답표!$C$4:$L$4)+(R57:AA57=정답표!$C$5:$L$5))&gt;0))</f>
        <v>90</v>
      </c>
      <c r="AC57" s="10" t="s">
        <v>87</v>
      </c>
      <c r="AD57" s="10" t="s">
        <v>88</v>
      </c>
      <c r="AE57" s="10" t="s">
        <v>327</v>
      </c>
      <c r="AF57" s="10" t="s">
        <v>90</v>
      </c>
      <c r="AG57" s="10" t="s">
        <v>91</v>
      </c>
      <c r="AH57" s="10" t="s">
        <v>92</v>
      </c>
      <c r="AI57" s="10" t="s">
        <v>93</v>
      </c>
      <c r="AJ57" s="10" t="s">
        <v>94</v>
      </c>
      <c r="AK57" s="10" t="s">
        <v>86</v>
      </c>
      <c r="AL57" s="10" t="s">
        <v>86</v>
      </c>
      <c r="AM57" s="11">
        <f>10*SUMPRODUCT(--(AC57:AL57&lt;&gt;""),--(((AC57:AL57=정답표!$C$6:$L$6)+(AC57:AL57=정답표!$C$7:$L$7))&gt;0))</f>
        <v>90</v>
      </c>
      <c r="AN57" s="10" t="s">
        <v>243</v>
      </c>
      <c r="AO57" s="10" t="s">
        <v>328</v>
      </c>
      <c r="AP57" s="10" t="s">
        <v>245</v>
      </c>
      <c r="AQ57" s="10" t="s">
        <v>246</v>
      </c>
      <c r="AR57" s="10" t="s">
        <v>247</v>
      </c>
      <c r="AS57" s="10" t="s">
        <v>248</v>
      </c>
      <c r="AT57" s="10" t="s">
        <v>249</v>
      </c>
      <c r="AU57" s="10" t="s">
        <v>250</v>
      </c>
      <c r="AV57" s="10" t="s">
        <v>86</v>
      </c>
      <c r="AW57" s="10" t="s">
        <v>86</v>
      </c>
      <c r="AX57" s="11">
        <f>10*SUMPRODUCT(--(AN57:AW57&lt;&gt;""),--(((AN57:AW57=정답표!$C$8:$L$8)+(AN57:AW57=정답표!$C$9:$L$9))&gt;0))</f>
        <v>90</v>
      </c>
      <c r="AY57" s="10" t="s">
        <v>95</v>
      </c>
      <c r="AZ57" s="10" t="s">
        <v>96</v>
      </c>
      <c r="BA57" s="10" t="s">
        <v>97</v>
      </c>
      <c r="BB57" s="10" t="s">
        <v>199</v>
      </c>
      <c r="BC57" s="10" t="s">
        <v>99</v>
      </c>
      <c r="BD57" s="10" t="s">
        <v>100</v>
      </c>
      <c r="BE57" s="10" t="s">
        <v>101</v>
      </c>
      <c r="BF57" s="10" t="s">
        <v>86</v>
      </c>
      <c r="BG57" s="10" t="s">
        <v>86</v>
      </c>
      <c r="BH57" s="10" t="s">
        <v>102</v>
      </c>
      <c r="BI57" s="11">
        <f>10*SUMPRODUCT(--(AY57:BH57&lt;&gt;""),--(((AY57:BH57=정답표!$C$10:$L$10)+(AY57:BH57=정답표!$C$11:$L$11))&gt;0))</f>
        <v>90</v>
      </c>
      <c r="BJ57" s="11">
        <f t="shared" si="7"/>
        <v>420</v>
      </c>
      <c r="BK57" s="12">
        <f t="shared" si="8"/>
        <v>5</v>
      </c>
      <c r="BL57" s="28">
        <f>IF(QuizMatchTable[[#This Row],[분반]]=1, QuizMatchTable[[#This Row],[퀴즈합계]]/4 *0.3, QuizMatchTable[[#This Row],[퀴즈합계]]/5*0.3)</f>
        <v>25.2</v>
      </c>
      <c r="BM57" s="28">
        <v>26</v>
      </c>
      <c r="BN57" s="28">
        <v>16.8</v>
      </c>
      <c r="BO57" s="13"/>
      <c r="BP57" s="28">
        <f>SUM(QuizMatchTable[[#This Row],[퀴즈점수(30)]],BM57,BN57,BO57)</f>
        <v>68</v>
      </c>
      <c r="BQ57" s="13">
        <f t="shared" si="9"/>
        <v>26</v>
      </c>
      <c r="BR57" s="33" t="s">
        <v>657</v>
      </c>
      <c r="BS57" s="13">
        <v>6</v>
      </c>
      <c r="BT57" s="13"/>
    </row>
    <row r="58" spans="1:72" x14ac:dyDescent="0.3">
      <c r="A58" s="30" t="s">
        <v>64</v>
      </c>
      <c r="B58" s="8">
        <v>2</v>
      </c>
      <c r="C58" s="8">
        <v>20220191</v>
      </c>
      <c r="D58" s="9" t="s">
        <v>351</v>
      </c>
      <c r="E58" s="8" t="s">
        <v>352</v>
      </c>
      <c r="F58" s="9" t="s">
        <v>353</v>
      </c>
      <c r="G58" s="10"/>
      <c r="H58" s="10" t="s">
        <v>69</v>
      </c>
      <c r="I58" s="10" t="s">
        <v>70</v>
      </c>
      <c r="J58" s="10" t="s">
        <v>71</v>
      </c>
      <c r="K58" s="10" t="s">
        <v>72</v>
      </c>
      <c r="L58" s="10" t="s">
        <v>73</v>
      </c>
      <c r="M58" s="10" t="s">
        <v>74</v>
      </c>
      <c r="N58" s="10" t="s">
        <v>75</v>
      </c>
      <c r="O58" s="10" t="s">
        <v>76</v>
      </c>
      <c r="P58" s="10" t="s">
        <v>77</v>
      </c>
      <c r="Q58" s="11">
        <f>10*SUMPRODUCT(--(G58:P58&lt;&gt;""),--(((G58:P58=정답표!$C$2:$L$2)+(G58:P58=정답표!$C$3:$L$3))&gt;0))</f>
        <v>90</v>
      </c>
      <c r="R58" s="10" t="s">
        <v>78</v>
      </c>
      <c r="S58" s="10" t="s">
        <v>79</v>
      </c>
      <c r="T58" s="10" t="s">
        <v>80</v>
      </c>
      <c r="U58" s="10" t="s">
        <v>81</v>
      </c>
      <c r="V58" s="10" t="s">
        <v>82</v>
      </c>
      <c r="W58" s="10" t="s">
        <v>83</v>
      </c>
      <c r="X58" s="10" t="s">
        <v>84</v>
      </c>
      <c r="Y58" s="10" t="s">
        <v>85</v>
      </c>
      <c r="Z58" s="10" t="s">
        <v>86</v>
      </c>
      <c r="AA58" s="10" t="s">
        <v>86</v>
      </c>
      <c r="AB58" s="11">
        <f>10*SUMPRODUCT(--(R58:AA58&lt;&gt;""),--(((R58:AA58=정답표!$C$4:$L$4)+(R58:AA58=정답표!$C$5:$L$5))&gt;0))</f>
        <v>100</v>
      </c>
      <c r="AC58" s="10" t="s">
        <v>87</v>
      </c>
      <c r="AD58" s="10" t="s">
        <v>88</v>
      </c>
      <c r="AE58" s="10" t="s">
        <v>89</v>
      </c>
      <c r="AF58" s="10" t="s">
        <v>90</v>
      </c>
      <c r="AG58" s="10" t="s">
        <v>91</v>
      </c>
      <c r="AH58" s="10" t="s">
        <v>92</v>
      </c>
      <c r="AI58" s="10" t="s">
        <v>93</v>
      </c>
      <c r="AJ58" s="10" t="s">
        <v>94</v>
      </c>
      <c r="AK58" s="10" t="s">
        <v>86</v>
      </c>
      <c r="AL58" s="10" t="s">
        <v>86</v>
      </c>
      <c r="AM58" s="11">
        <f>10*SUMPRODUCT(--(AC58:AL58&lt;&gt;""),--(((AC58:AL58=정답표!$C$6:$L$6)+(AC58:AL58=정답표!$C$7:$L$7))&gt;0))</f>
        <v>100</v>
      </c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1"/>
      <c r="AY58" s="10" t="s">
        <v>95</v>
      </c>
      <c r="AZ58" s="10" t="s">
        <v>96</v>
      </c>
      <c r="BA58" s="10" t="s">
        <v>97</v>
      </c>
      <c r="BB58" s="10" t="s">
        <v>98</v>
      </c>
      <c r="BC58" s="10" t="s">
        <v>99</v>
      </c>
      <c r="BD58" s="10" t="s">
        <v>100</v>
      </c>
      <c r="BE58" s="10" t="s">
        <v>101</v>
      </c>
      <c r="BF58" s="10" t="s">
        <v>86</v>
      </c>
      <c r="BG58" s="10" t="s">
        <v>86</v>
      </c>
      <c r="BH58" s="10" t="s">
        <v>102</v>
      </c>
      <c r="BI58" s="11">
        <f>10*SUMPRODUCT(--(AY58:BH58&lt;&gt;""),--(((AY58:BH58=정답표!$C$10:$L$10)+(AY58:BH58=정답표!$C$11:$L$11))&gt;0))</f>
        <v>100</v>
      </c>
      <c r="BJ58" s="11">
        <f t="shared" si="7"/>
        <v>390</v>
      </c>
      <c r="BK58" s="12">
        <f t="shared" si="8"/>
        <v>4</v>
      </c>
      <c r="BL58" s="28">
        <f>IF(QuizMatchTable[[#This Row],[분반]]=1, QuizMatchTable[[#This Row],[퀴즈합계]]/4 *0.3, QuizMatchTable[[#This Row],[퀴즈합계]]/5*0.3)</f>
        <v>23.4</v>
      </c>
      <c r="BM58" s="28">
        <v>28.67</v>
      </c>
      <c r="BN58" s="28">
        <v>17.600000000000001</v>
      </c>
      <c r="BO58" s="13"/>
      <c r="BP58" s="28">
        <f>SUM(QuizMatchTable[[#This Row],[퀴즈점수(30)]],BM58,BN58,BO58)</f>
        <v>69.67</v>
      </c>
      <c r="BQ58" s="13">
        <f t="shared" si="9"/>
        <v>23</v>
      </c>
      <c r="BR58" s="33" t="s">
        <v>657</v>
      </c>
      <c r="BS58" s="13">
        <v>2</v>
      </c>
      <c r="BT58" s="13"/>
    </row>
    <row r="59" spans="1:72" x14ac:dyDescent="0.3">
      <c r="A59" s="30" t="s">
        <v>64</v>
      </c>
      <c r="B59" s="8">
        <v>2</v>
      </c>
      <c r="C59" s="8">
        <v>20220192</v>
      </c>
      <c r="D59" s="9" t="s">
        <v>354</v>
      </c>
      <c r="E59" s="8" t="s">
        <v>355</v>
      </c>
      <c r="F59" s="9" t="s">
        <v>356</v>
      </c>
      <c r="G59" s="10" t="s">
        <v>68</v>
      </c>
      <c r="H59" s="10" t="s">
        <v>69</v>
      </c>
      <c r="I59" s="10" t="s">
        <v>70</v>
      </c>
      <c r="J59" s="10" t="s">
        <v>71</v>
      </c>
      <c r="K59" s="10" t="s">
        <v>72</v>
      </c>
      <c r="L59" s="10" t="s">
        <v>73</v>
      </c>
      <c r="M59" s="10" t="s">
        <v>74</v>
      </c>
      <c r="N59" s="10" t="s">
        <v>75</v>
      </c>
      <c r="O59" s="10" t="s">
        <v>76</v>
      </c>
      <c r="P59" s="10" t="s">
        <v>77</v>
      </c>
      <c r="Q59" s="11">
        <f>10*SUMPRODUCT(--(G59:P59&lt;&gt;""),--(((G59:P59=정답표!$C$2:$L$2)+(G59:P59=정답표!$C$3:$L$3))&gt;0))</f>
        <v>100</v>
      </c>
      <c r="R59" s="10" t="s">
        <v>78</v>
      </c>
      <c r="S59" s="10" t="s">
        <v>79</v>
      </c>
      <c r="T59" s="10" t="s">
        <v>80</v>
      </c>
      <c r="U59" s="10" t="s">
        <v>81</v>
      </c>
      <c r="V59" s="10" t="s">
        <v>82</v>
      </c>
      <c r="W59" s="10" t="s">
        <v>83</v>
      </c>
      <c r="X59" s="10" t="s">
        <v>84</v>
      </c>
      <c r="Y59" s="10" t="s">
        <v>85</v>
      </c>
      <c r="Z59" s="10" t="s">
        <v>86</v>
      </c>
      <c r="AA59" s="10" t="s">
        <v>86</v>
      </c>
      <c r="AB59" s="11">
        <f>10*SUMPRODUCT(--(R59:AA59&lt;&gt;""),--(((R59:AA59=정답표!$C$4:$L$4)+(R59:AA59=정답표!$C$5:$L$5))&gt;0))</f>
        <v>100</v>
      </c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1"/>
      <c r="AN59" s="10" t="s">
        <v>243</v>
      </c>
      <c r="AO59" s="10" t="s">
        <v>244</v>
      </c>
      <c r="AP59" s="10" t="s">
        <v>245</v>
      </c>
      <c r="AQ59" s="10" t="s">
        <v>246</v>
      </c>
      <c r="AR59" s="10" t="s">
        <v>247</v>
      </c>
      <c r="AS59" s="10" t="s">
        <v>248</v>
      </c>
      <c r="AT59" s="10" t="s">
        <v>249</v>
      </c>
      <c r="AU59" s="10" t="s">
        <v>250</v>
      </c>
      <c r="AV59" s="10" t="s">
        <v>86</v>
      </c>
      <c r="AW59" s="10" t="s">
        <v>86</v>
      </c>
      <c r="AX59" s="11">
        <f>10*SUMPRODUCT(--(AN59:AW59&lt;&gt;""),--(((AN59:AW59=정답표!$C$8:$L$8)+(AN59:AW59=정답표!$C$9:$L$9))&gt;0))</f>
        <v>100</v>
      </c>
      <c r="AY59" s="10" t="s">
        <v>95</v>
      </c>
      <c r="AZ59" s="10" t="s">
        <v>96</v>
      </c>
      <c r="BA59" s="10" t="s">
        <v>97</v>
      </c>
      <c r="BB59" s="10" t="s">
        <v>199</v>
      </c>
      <c r="BC59" s="10" t="s">
        <v>99</v>
      </c>
      <c r="BD59" s="10" t="s">
        <v>100</v>
      </c>
      <c r="BE59" s="10" t="s">
        <v>101</v>
      </c>
      <c r="BF59" s="10" t="s">
        <v>86</v>
      </c>
      <c r="BG59" s="10" t="s">
        <v>86</v>
      </c>
      <c r="BH59" s="10" t="s">
        <v>102</v>
      </c>
      <c r="BI59" s="11">
        <f>10*SUMPRODUCT(--(AY59:BH59&lt;&gt;""),--(((AY59:BH59=정답표!$C$10:$L$10)+(AY59:BH59=정답표!$C$11:$L$11))&gt;0))</f>
        <v>90</v>
      </c>
      <c r="BJ59" s="11">
        <f t="shared" si="7"/>
        <v>390</v>
      </c>
      <c r="BK59" s="12">
        <f t="shared" si="8"/>
        <v>4</v>
      </c>
      <c r="BL59" s="28">
        <f>IF(QuizMatchTable[[#This Row],[분반]]=1, QuizMatchTable[[#This Row],[퀴즈합계]]/4 *0.3, QuizMatchTable[[#This Row],[퀴즈합계]]/5*0.3)</f>
        <v>23.4</v>
      </c>
      <c r="BM59" s="28">
        <v>26</v>
      </c>
      <c r="BN59" s="28">
        <v>19.600000000000001</v>
      </c>
      <c r="BO59" s="13"/>
      <c r="BP59" s="28">
        <f>SUM(QuizMatchTable[[#This Row],[퀴즈점수(30)]],BM59,BN59,BO59)</f>
        <v>69</v>
      </c>
      <c r="BQ59" s="13">
        <f t="shared" si="9"/>
        <v>24</v>
      </c>
      <c r="BR59" s="33" t="s">
        <v>657</v>
      </c>
      <c r="BS59" s="13">
        <v>6</v>
      </c>
      <c r="BT59" s="13"/>
    </row>
    <row r="60" spans="1:72" x14ac:dyDescent="0.3">
      <c r="A60" s="30" t="s">
        <v>64</v>
      </c>
      <c r="B60" s="8">
        <v>3</v>
      </c>
      <c r="C60" s="8">
        <v>20220135</v>
      </c>
      <c r="D60" s="9" t="s">
        <v>471</v>
      </c>
      <c r="E60" s="8" t="s">
        <v>472</v>
      </c>
      <c r="F60" s="9" t="s">
        <v>473</v>
      </c>
      <c r="G60" s="10" t="s">
        <v>360</v>
      </c>
      <c r="H60" s="10" t="s">
        <v>207</v>
      </c>
      <c r="I60" s="10" t="s">
        <v>208</v>
      </c>
      <c r="J60" s="10" t="s">
        <v>71</v>
      </c>
      <c r="K60" s="10" t="s">
        <v>474</v>
      </c>
      <c r="L60" s="10" t="s">
        <v>73</v>
      </c>
      <c r="M60" s="10" t="s">
        <v>211</v>
      </c>
      <c r="N60" s="10" t="s">
        <v>75</v>
      </c>
      <c r="O60" s="10" t="s">
        <v>77</v>
      </c>
      <c r="P60" s="10" t="s">
        <v>77</v>
      </c>
      <c r="Q60" s="11">
        <f>10*SUMPRODUCT(--(G60:P60&lt;&gt;""),--(((G60:P60=정답표!$C$2:$L$2)+(G60:P60=정답표!$C$3:$L$3))&gt;0))</f>
        <v>40</v>
      </c>
      <c r="R60" s="10" t="s">
        <v>78</v>
      </c>
      <c r="S60" s="10" t="s">
        <v>79</v>
      </c>
      <c r="T60" s="10" t="s">
        <v>362</v>
      </c>
      <c r="U60" s="10" t="s">
        <v>475</v>
      </c>
      <c r="V60" s="10" t="s">
        <v>363</v>
      </c>
      <c r="W60" s="10" t="s">
        <v>83</v>
      </c>
      <c r="X60" s="10" t="s">
        <v>84</v>
      </c>
      <c r="Y60" s="10" t="s">
        <v>85</v>
      </c>
      <c r="Z60" s="10" t="s">
        <v>86</v>
      </c>
      <c r="AA60" s="10" t="s">
        <v>86</v>
      </c>
      <c r="AB60" s="11">
        <f>10*SUMPRODUCT(--(R60:AA60&lt;&gt;""),--(((R60:AA60=정답표!$C$4:$L$4)+(R60:AA60=정답표!$C$5:$L$5))&gt;0))</f>
        <v>70</v>
      </c>
      <c r="AC60" s="10" t="s">
        <v>476</v>
      </c>
      <c r="AD60" s="10" t="s">
        <v>88</v>
      </c>
      <c r="AE60" s="10" t="s">
        <v>89</v>
      </c>
      <c r="AF60" s="10" t="s">
        <v>334</v>
      </c>
      <c r="AG60" s="10" t="s">
        <v>91</v>
      </c>
      <c r="AH60" s="10" t="s">
        <v>92</v>
      </c>
      <c r="AI60" s="10" t="s">
        <v>93</v>
      </c>
      <c r="AJ60" s="10" t="s">
        <v>94</v>
      </c>
      <c r="AK60" s="10" t="s">
        <v>86</v>
      </c>
      <c r="AL60" s="10" t="s">
        <v>86</v>
      </c>
      <c r="AM60" s="11">
        <f>10*SUMPRODUCT(--(AC60:AL60&lt;&gt;""),--(((AC60:AL60=정답표!$C$6:$L$6)+(AC60:AL60=정답표!$C$7:$L$7))&gt;0))</f>
        <v>80</v>
      </c>
      <c r="AN60" s="10" t="s">
        <v>243</v>
      </c>
      <c r="AO60" s="10" t="s">
        <v>244</v>
      </c>
      <c r="AP60" s="10" t="s">
        <v>477</v>
      </c>
      <c r="AQ60" s="10" t="s">
        <v>478</v>
      </c>
      <c r="AR60" s="10" t="s">
        <v>247</v>
      </c>
      <c r="AS60" s="10" t="s">
        <v>347</v>
      </c>
      <c r="AT60" s="10" t="s">
        <v>335</v>
      </c>
      <c r="AU60" s="10" t="s">
        <v>479</v>
      </c>
      <c r="AV60" s="10" t="s">
        <v>86</v>
      </c>
      <c r="AW60" s="10" t="s">
        <v>86</v>
      </c>
      <c r="AX60" s="11">
        <f>10*SUMPRODUCT(--(AN60:AW60&lt;&gt;""),--(((AN60:AW60=정답표!$C$8:$L$8)+(AN60:AW60=정답표!$C$9:$L$9))&gt;0))</f>
        <v>50</v>
      </c>
      <c r="AY60" s="10" t="s">
        <v>95</v>
      </c>
      <c r="AZ60" s="10" t="s">
        <v>96</v>
      </c>
      <c r="BA60" s="10" t="s">
        <v>97</v>
      </c>
      <c r="BB60" s="10" t="s">
        <v>98</v>
      </c>
      <c r="BC60" s="10" t="s">
        <v>99</v>
      </c>
      <c r="BD60" s="10" t="s">
        <v>100</v>
      </c>
      <c r="BE60" s="10" t="s">
        <v>101</v>
      </c>
      <c r="BF60" s="10" t="s">
        <v>86</v>
      </c>
      <c r="BG60" s="10" t="s">
        <v>86</v>
      </c>
      <c r="BH60" s="10" t="s">
        <v>102</v>
      </c>
      <c r="BI60" s="11">
        <f>10*SUMPRODUCT(--(AY60:BH60&lt;&gt;""),--(((AY60:BH60=정답표!$C$10:$L$10)+(AY60:BH60=정답표!$C$11:$L$11))&gt;0))</f>
        <v>100</v>
      </c>
      <c r="BJ60" s="11">
        <f t="shared" si="7"/>
        <v>340</v>
      </c>
      <c r="BK60" s="12">
        <f t="shared" si="8"/>
        <v>5</v>
      </c>
      <c r="BL60" s="28">
        <f>IF(QuizMatchTable[[#This Row],[분반]]=1, QuizMatchTable[[#This Row],[퀴즈합계]]/4 *0.3, QuizMatchTable[[#This Row],[퀴즈합계]]/5*0.3)</f>
        <v>20.399999999999999</v>
      </c>
      <c r="BM60" s="28">
        <v>30</v>
      </c>
      <c r="BN60" s="28">
        <v>18.39</v>
      </c>
      <c r="BO60" s="13"/>
      <c r="BP60" s="28">
        <f>SUM(QuizMatchTable[[#This Row],[퀴즈점수(30)]],BM60,BN60,BO60)</f>
        <v>68.789999999999992</v>
      </c>
      <c r="BQ60" s="13">
        <f t="shared" si="9"/>
        <v>18</v>
      </c>
      <c r="BR60" s="33" t="s">
        <v>656</v>
      </c>
      <c r="BS60" s="13">
        <v>0</v>
      </c>
      <c r="BT60" s="13"/>
    </row>
    <row r="61" spans="1:72" x14ac:dyDescent="0.3">
      <c r="A61" s="30" t="s">
        <v>64</v>
      </c>
      <c r="B61" s="8">
        <v>3</v>
      </c>
      <c r="C61" s="8">
        <v>20220136</v>
      </c>
      <c r="D61" s="9" t="s">
        <v>405</v>
      </c>
      <c r="E61" s="8" t="s">
        <v>406</v>
      </c>
      <c r="F61" s="9" t="s">
        <v>407</v>
      </c>
      <c r="G61" s="10" t="s">
        <v>68</v>
      </c>
      <c r="H61" s="10" t="s">
        <v>69</v>
      </c>
      <c r="I61" s="10" t="s">
        <v>70</v>
      </c>
      <c r="J61" s="10" t="s">
        <v>71</v>
      </c>
      <c r="K61" s="10" t="s">
        <v>72</v>
      </c>
      <c r="L61" s="10" t="s">
        <v>73</v>
      </c>
      <c r="M61" s="10" t="s">
        <v>74</v>
      </c>
      <c r="N61" s="10" t="s">
        <v>75</v>
      </c>
      <c r="O61" s="10" t="s">
        <v>76</v>
      </c>
      <c r="P61" s="10" t="s">
        <v>77</v>
      </c>
      <c r="Q61" s="11">
        <f>10*SUMPRODUCT(--(G61:P61&lt;&gt;""),--(((G61:P61=정답표!$C$2:$L$2)+(G61:P61=정답표!$C$3:$L$3))&gt;0))</f>
        <v>100</v>
      </c>
      <c r="R61" s="10" t="s">
        <v>78</v>
      </c>
      <c r="S61" s="10" t="s">
        <v>79</v>
      </c>
      <c r="T61" s="10" t="s">
        <v>80</v>
      </c>
      <c r="U61" s="10" t="s">
        <v>81</v>
      </c>
      <c r="V61" s="10" t="s">
        <v>82</v>
      </c>
      <c r="W61" s="10" t="s">
        <v>83</v>
      </c>
      <c r="X61" s="10" t="s">
        <v>84</v>
      </c>
      <c r="Y61" s="10" t="s">
        <v>85</v>
      </c>
      <c r="Z61" s="10" t="s">
        <v>86</v>
      </c>
      <c r="AA61" s="10" t="s">
        <v>86</v>
      </c>
      <c r="AB61" s="11">
        <f>10*SUMPRODUCT(--(R61:AA61&lt;&gt;""),--(((R61:AA61=정답표!$C$4:$L$4)+(R61:AA61=정답표!$C$5:$L$5))&gt;0))</f>
        <v>100</v>
      </c>
      <c r="AC61" s="10" t="s">
        <v>284</v>
      </c>
      <c r="AD61" s="10" t="s">
        <v>88</v>
      </c>
      <c r="AE61" s="10" t="s">
        <v>89</v>
      </c>
      <c r="AF61" s="10" t="s">
        <v>90</v>
      </c>
      <c r="AG61" s="10" t="s">
        <v>91</v>
      </c>
      <c r="AH61" s="10" t="s">
        <v>92</v>
      </c>
      <c r="AI61" s="10" t="s">
        <v>93</v>
      </c>
      <c r="AJ61" s="10" t="s">
        <v>94</v>
      </c>
      <c r="AK61" s="10" t="s">
        <v>86</v>
      </c>
      <c r="AL61" s="10" t="s">
        <v>86</v>
      </c>
      <c r="AM61" s="11">
        <f>10*SUMPRODUCT(--(AC61:AL61&lt;&gt;""),--(((AC61:AL61=정답표!$C$6:$L$6)+(AC61:AL61=정답표!$C$7:$L$7))&gt;0))</f>
        <v>90</v>
      </c>
      <c r="AN61" s="10" t="s">
        <v>243</v>
      </c>
      <c r="AO61" s="10" t="s">
        <v>244</v>
      </c>
      <c r="AP61" s="10" t="s">
        <v>245</v>
      </c>
      <c r="AQ61" s="10" t="s">
        <v>246</v>
      </c>
      <c r="AR61" s="10" t="s">
        <v>247</v>
      </c>
      <c r="AS61" s="10" t="s">
        <v>248</v>
      </c>
      <c r="AT61" s="10" t="s">
        <v>249</v>
      </c>
      <c r="AU61" s="10" t="s">
        <v>250</v>
      </c>
      <c r="AV61" s="10" t="s">
        <v>86</v>
      </c>
      <c r="AW61" s="10" t="s">
        <v>86</v>
      </c>
      <c r="AX61" s="11">
        <f>10*SUMPRODUCT(--(AN61:AW61&lt;&gt;""),--(((AN61:AW61=정답표!$C$8:$L$8)+(AN61:AW61=정답표!$C$9:$L$9))&gt;0))</f>
        <v>100</v>
      </c>
      <c r="AY61" s="10" t="s">
        <v>95</v>
      </c>
      <c r="AZ61" s="10" t="s">
        <v>96</v>
      </c>
      <c r="BA61" s="10" t="s">
        <v>97</v>
      </c>
      <c r="BB61" s="10" t="s">
        <v>98</v>
      </c>
      <c r="BC61" s="10" t="s">
        <v>99</v>
      </c>
      <c r="BD61" s="10" t="s">
        <v>100</v>
      </c>
      <c r="BE61" s="10" t="s">
        <v>101</v>
      </c>
      <c r="BF61" s="10" t="s">
        <v>86</v>
      </c>
      <c r="BG61" s="10" t="s">
        <v>86</v>
      </c>
      <c r="BH61" s="10" t="s">
        <v>102</v>
      </c>
      <c r="BI61" s="11">
        <f>10*SUMPRODUCT(--(AY61:BH61&lt;&gt;""),--(((AY61:BH61=정답표!$C$10:$L$10)+(AY61:BH61=정답표!$C$11:$L$11))&gt;0))</f>
        <v>100</v>
      </c>
      <c r="BJ61" s="11">
        <f t="shared" ref="BJ61:BJ92" si="10">SUM(Q61,AB61,AM61,AX61,BI61)</f>
        <v>490</v>
      </c>
      <c r="BK61" s="12">
        <f t="shared" ref="BK61:BK92" si="11">COUNT(Q61,AB61,AM61,AX61,BI61)</f>
        <v>5</v>
      </c>
      <c r="BL61" s="28">
        <f>IF(QuizMatchTable[[#This Row],[분반]]=1, QuizMatchTable[[#This Row],[퀴즈합계]]/4 *0.3, QuizMatchTable[[#This Row],[퀴즈합계]]/5*0.3)</f>
        <v>29.4</v>
      </c>
      <c r="BM61" s="28">
        <v>28.67</v>
      </c>
      <c r="BN61" s="28">
        <v>20</v>
      </c>
      <c r="BO61" s="13"/>
      <c r="BP61" s="28">
        <f>SUM(QuizMatchTable[[#This Row],[퀴즈점수(30)]],BM61,BN61,BO61)</f>
        <v>78.069999999999993</v>
      </c>
      <c r="BQ61" s="13">
        <f t="shared" si="9"/>
        <v>2</v>
      </c>
      <c r="BR61" s="33" t="s">
        <v>653</v>
      </c>
      <c r="BS61" s="13">
        <v>2</v>
      </c>
      <c r="BT61" s="13"/>
    </row>
    <row r="62" spans="1:72" x14ac:dyDescent="0.3">
      <c r="A62" s="30" t="s">
        <v>64</v>
      </c>
      <c r="B62" s="8">
        <v>3</v>
      </c>
      <c r="C62" s="8">
        <v>20220137</v>
      </c>
      <c r="D62" s="9" t="s">
        <v>436</v>
      </c>
      <c r="E62" s="8" t="s">
        <v>437</v>
      </c>
      <c r="F62" s="9" t="s">
        <v>438</v>
      </c>
      <c r="G62" s="10" t="s">
        <v>68</v>
      </c>
      <c r="H62" s="10" t="s">
        <v>69</v>
      </c>
      <c r="I62" s="10" t="s">
        <v>70</v>
      </c>
      <c r="J62" s="10" t="s">
        <v>71</v>
      </c>
      <c r="K62" s="10" t="s">
        <v>72</v>
      </c>
      <c r="L62" s="10" t="s">
        <v>73</v>
      </c>
      <c r="M62" s="10" t="s">
        <v>135</v>
      </c>
      <c r="N62" s="10" t="s">
        <v>75</v>
      </c>
      <c r="O62" s="10" t="s">
        <v>76</v>
      </c>
      <c r="P62" s="10" t="s">
        <v>77</v>
      </c>
      <c r="Q62" s="11">
        <f>10*SUMPRODUCT(--(G62:P62&lt;&gt;""),--(((G62:P62=정답표!$C$2:$L$2)+(G62:P62=정답표!$C$3:$L$3))&gt;0))</f>
        <v>90</v>
      </c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1"/>
      <c r="AC62" s="10" t="s">
        <v>87</v>
      </c>
      <c r="AD62" s="10" t="s">
        <v>88</v>
      </c>
      <c r="AE62" s="10" t="s">
        <v>89</v>
      </c>
      <c r="AF62" s="10" t="s">
        <v>90</v>
      </c>
      <c r="AG62" s="10" t="s">
        <v>91</v>
      </c>
      <c r="AH62" s="10" t="s">
        <v>92</v>
      </c>
      <c r="AI62" s="10" t="s">
        <v>93</v>
      </c>
      <c r="AJ62" s="10" t="s">
        <v>94</v>
      </c>
      <c r="AK62" s="10" t="s">
        <v>86</v>
      </c>
      <c r="AL62" s="10" t="s">
        <v>86</v>
      </c>
      <c r="AM62" s="11">
        <f>10*SUMPRODUCT(--(AC62:AL62&lt;&gt;""),--(((AC62:AL62=정답표!$C$6:$L$6)+(AC62:AL62=정답표!$C$7:$L$7))&gt;0))</f>
        <v>100</v>
      </c>
      <c r="AN62" s="10" t="s">
        <v>243</v>
      </c>
      <c r="AO62" s="10" t="s">
        <v>244</v>
      </c>
      <c r="AP62" s="10" t="s">
        <v>245</v>
      </c>
      <c r="AQ62" s="10" t="s">
        <v>246</v>
      </c>
      <c r="AR62" s="10" t="s">
        <v>247</v>
      </c>
      <c r="AS62" s="10" t="s">
        <v>248</v>
      </c>
      <c r="AT62" s="10" t="s">
        <v>249</v>
      </c>
      <c r="AU62" s="10" t="s">
        <v>250</v>
      </c>
      <c r="AV62" s="10" t="s">
        <v>86</v>
      </c>
      <c r="AW62" s="10" t="s">
        <v>86</v>
      </c>
      <c r="AX62" s="11">
        <f>10*SUMPRODUCT(--(AN62:AW62&lt;&gt;""),--(((AN62:AW62=정답표!$C$8:$L$8)+(AN62:AW62=정답표!$C$9:$L$9))&gt;0))</f>
        <v>100</v>
      </c>
      <c r="AY62" s="10" t="s">
        <v>95</v>
      </c>
      <c r="AZ62" s="10" t="s">
        <v>96</v>
      </c>
      <c r="BA62" s="10" t="s">
        <v>97</v>
      </c>
      <c r="BB62" s="10" t="s">
        <v>98</v>
      </c>
      <c r="BC62" s="10" t="s">
        <v>99</v>
      </c>
      <c r="BD62" s="10" t="s">
        <v>100</v>
      </c>
      <c r="BE62" s="10" t="s">
        <v>101</v>
      </c>
      <c r="BF62" s="10" t="s">
        <v>86</v>
      </c>
      <c r="BG62" s="10" t="s">
        <v>86</v>
      </c>
      <c r="BH62" s="10" t="s">
        <v>102</v>
      </c>
      <c r="BI62" s="11">
        <f>10*SUMPRODUCT(--(AY62:BH62&lt;&gt;""),--(((AY62:BH62=정답표!$C$10:$L$10)+(AY62:BH62=정답표!$C$11:$L$11))&gt;0))</f>
        <v>100</v>
      </c>
      <c r="BJ62" s="11">
        <f t="shared" si="10"/>
        <v>390</v>
      </c>
      <c r="BK62" s="12">
        <f t="shared" si="11"/>
        <v>4</v>
      </c>
      <c r="BL62" s="28">
        <f>IF(QuizMatchTable[[#This Row],[분반]]=1, QuizMatchTable[[#This Row],[퀴즈합계]]/4 *0.3, QuizMatchTable[[#This Row],[퀴즈합계]]/5*0.3)</f>
        <v>23.4</v>
      </c>
      <c r="BM62" s="28">
        <v>27.33</v>
      </c>
      <c r="BN62" s="28">
        <v>16</v>
      </c>
      <c r="BO62" s="13"/>
      <c r="BP62" s="28">
        <f>SUM(QuizMatchTable[[#This Row],[퀴즈점수(30)]],BM62,BN62,BO62)</f>
        <v>66.72999999999999</v>
      </c>
      <c r="BQ62" s="13">
        <f t="shared" si="9"/>
        <v>22</v>
      </c>
      <c r="BR62" s="33" t="s">
        <v>657</v>
      </c>
      <c r="BS62" s="13">
        <v>4</v>
      </c>
      <c r="BT62" s="13"/>
    </row>
    <row r="63" spans="1:72" x14ac:dyDescent="0.3">
      <c r="A63" s="30" t="s">
        <v>64</v>
      </c>
      <c r="B63" s="8">
        <v>3</v>
      </c>
      <c r="C63" s="8">
        <v>20220138</v>
      </c>
      <c r="D63" s="9" t="s">
        <v>442</v>
      </c>
      <c r="E63" s="8" t="s">
        <v>443</v>
      </c>
      <c r="F63" s="9" t="s">
        <v>444</v>
      </c>
      <c r="G63" s="10" t="s">
        <v>68</v>
      </c>
      <c r="H63" s="10" t="s">
        <v>69</v>
      </c>
      <c r="I63" s="10" t="s">
        <v>70</v>
      </c>
      <c r="J63" s="10" t="s">
        <v>71</v>
      </c>
      <c r="K63" s="10" t="s">
        <v>72</v>
      </c>
      <c r="L63" s="10" t="s">
        <v>73</v>
      </c>
      <c r="M63" s="10" t="s">
        <v>74</v>
      </c>
      <c r="N63" s="10" t="s">
        <v>75</v>
      </c>
      <c r="O63" s="10" t="s">
        <v>76</v>
      </c>
      <c r="P63" s="10" t="s">
        <v>77</v>
      </c>
      <c r="Q63" s="11">
        <f>10*SUMPRODUCT(--(G63:P63&lt;&gt;""),--(((G63:P63=정답표!$C$2:$L$2)+(G63:P63=정답표!$C$3:$L$3))&gt;0))</f>
        <v>100</v>
      </c>
      <c r="R63" s="10" t="s">
        <v>78</v>
      </c>
      <c r="S63" s="10" t="s">
        <v>79</v>
      </c>
      <c r="T63" s="10" t="s">
        <v>80</v>
      </c>
      <c r="U63" s="10" t="s">
        <v>81</v>
      </c>
      <c r="V63" s="10" t="s">
        <v>82</v>
      </c>
      <c r="W63" s="10" t="s">
        <v>83</v>
      </c>
      <c r="X63" s="10" t="s">
        <v>84</v>
      </c>
      <c r="Y63" s="10" t="s">
        <v>136</v>
      </c>
      <c r="Z63" s="10" t="s">
        <v>86</v>
      </c>
      <c r="AA63" s="10" t="s">
        <v>86</v>
      </c>
      <c r="AB63" s="11">
        <f>10*SUMPRODUCT(--(R63:AA63&lt;&gt;""),--(((R63:AA63=정답표!$C$4:$L$4)+(R63:AA63=정답표!$C$5:$L$5))&gt;0))</f>
        <v>90</v>
      </c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1"/>
      <c r="AN63" s="10" t="s">
        <v>243</v>
      </c>
      <c r="AO63" s="10" t="s">
        <v>244</v>
      </c>
      <c r="AP63" s="10" t="s">
        <v>245</v>
      </c>
      <c r="AQ63" s="10" t="s">
        <v>246</v>
      </c>
      <c r="AR63" s="10" t="s">
        <v>247</v>
      </c>
      <c r="AS63" s="10" t="s">
        <v>248</v>
      </c>
      <c r="AT63" s="10" t="s">
        <v>249</v>
      </c>
      <c r="AU63" s="10" t="s">
        <v>250</v>
      </c>
      <c r="AV63" s="10" t="s">
        <v>86</v>
      </c>
      <c r="AW63" s="10" t="s">
        <v>86</v>
      </c>
      <c r="AX63" s="11">
        <f>10*SUMPRODUCT(--(AN63:AW63&lt;&gt;""),--(((AN63:AW63=정답표!$C$8:$L$8)+(AN63:AW63=정답표!$C$9:$L$9))&gt;0))</f>
        <v>100</v>
      </c>
      <c r="AY63" s="10" t="s">
        <v>95</v>
      </c>
      <c r="AZ63" s="10" t="s">
        <v>96</v>
      </c>
      <c r="BA63" s="10" t="s">
        <v>97</v>
      </c>
      <c r="BB63" s="10" t="s">
        <v>98</v>
      </c>
      <c r="BC63" s="10" t="s">
        <v>99</v>
      </c>
      <c r="BD63" s="10" t="s">
        <v>100</v>
      </c>
      <c r="BE63" s="10" t="s">
        <v>101</v>
      </c>
      <c r="BF63" s="10" t="s">
        <v>86</v>
      </c>
      <c r="BG63" s="10" t="s">
        <v>86</v>
      </c>
      <c r="BH63" s="10" t="s">
        <v>102</v>
      </c>
      <c r="BI63" s="11">
        <f>10*SUMPRODUCT(--(AY63:BH63&lt;&gt;""),--(((AY63:BH63=정답표!$C$10:$L$10)+(AY63:BH63=정답표!$C$11:$L$11))&gt;0))</f>
        <v>100</v>
      </c>
      <c r="BJ63" s="11">
        <f t="shared" si="10"/>
        <v>390</v>
      </c>
      <c r="BK63" s="12">
        <f t="shared" si="11"/>
        <v>4</v>
      </c>
      <c r="BL63" s="28">
        <f>IF(QuizMatchTable[[#This Row],[분반]]=1, QuizMatchTable[[#This Row],[퀴즈합계]]/4 *0.3, QuizMatchTable[[#This Row],[퀴즈합계]]/5*0.3)</f>
        <v>23.4</v>
      </c>
      <c r="BM63" s="28">
        <v>28</v>
      </c>
      <c r="BN63" s="28">
        <v>19.600000000000001</v>
      </c>
      <c r="BO63" s="13"/>
      <c r="BP63" s="28">
        <f>SUM(QuizMatchTable[[#This Row],[퀴즈점수(30)]],BM63,BN63,BO63)</f>
        <v>71</v>
      </c>
      <c r="BQ63" s="13">
        <f t="shared" si="9"/>
        <v>13</v>
      </c>
      <c r="BR63" s="33" t="s">
        <v>655</v>
      </c>
      <c r="BS63" s="13">
        <v>3</v>
      </c>
      <c r="BT63" s="13"/>
    </row>
    <row r="64" spans="1:72" x14ac:dyDescent="0.3">
      <c r="A64" s="30" t="s">
        <v>64</v>
      </c>
      <c r="B64" s="8">
        <v>3</v>
      </c>
      <c r="C64" s="8">
        <v>20220148</v>
      </c>
      <c r="D64" s="9" t="s">
        <v>492</v>
      </c>
      <c r="E64" s="8" t="s">
        <v>493</v>
      </c>
      <c r="F64" s="9" t="s">
        <v>494</v>
      </c>
      <c r="G64" s="10" t="s">
        <v>280</v>
      </c>
      <c r="H64" s="10" t="s">
        <v>463</v>
      </c>
      <c r="I64" s="10" t="s">
        <v>495</v>
      </c>
      <c r="J64" s="10" t="s">
        <v>209</v>
      </c>
      <c r="K64" s="10" t="s">
        <v>378</v>
      </c>
      <c r="L64" s="10" t="s">
        <v>198</v>
      </c>
      <c r="M64" s="10" t="s">
        <v>135</v>
      </c>
      <c r="N64" s="10" t="s">
        <v>75</v>
      </c>
      <c r="O64" s="10" t="s">
        <v>77</v>
      </c>
      <c r="P64" s="10" t="s">
        <v>77</v>
      </c>
      <c r="Q64" s="11">
        <f>10*SUMPRODUCT(--(G64:P64&lt;&gt;""),--(((G64:P64=정답표!$C$2:$L$2)+(G64:P64=정답표!$C$3:$L$3))&gt;0))</f>
        <v>20</v>
      </c>
      <c r="R64" s="10" t="s">
        <v>78</v>
      </c>
      <c r="S64" s="10" t="s">
        <v>79</v>
      </c>
      <c r="T64" s="10" t="s">
        <v>380</v>
      </c>
      <c r="U64" s="10" t="s">
        <v>496</v>
      </c>
      <c r="V64" s="10" t="s">
        <v>82</v>
      </c>
      <c r="W64" s="10" t="s">
        <v>497</v>
      </c>
      <c r="X64" s="10" t="s">
        <v>333</v>
      </c>
      <c r="Y64" s="10" t="s">
        <v>136</v>
      </c>
      <c r="Z64" s="10" t="s">
        <v>86</v>
      </c>
      <c r="AA64" s="10" t="s">
        <v>86</v>
      </c>
      <c r="AB64" s="11">
        <f>10*SUMPRODUCT(--(R64:AA64&lt;&gt;""),--(((R64:AA64=정답표!$C$4:$L$4)+(R64:AA64=정답표!$C$5:$L$5))&gt;0))</f>
        <v>50</v>
      </c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1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1"/>
      <c r="AY64" s="10" t="s">
        <v>388</v>
      </c>
      <c r="AZ64" s="10" t="s">
        <v>96</v>
      </c>
      <c r="BA64" s="10" t="s">
        <v>498</v>
      </c>
      <c r="BB64" s="10" t="s">
        <v>389</v>
      </c>
      <c r="BC64" s="10" t="s">
        <v>99</v>
      </c>
      <c r="BD64" s="10" t="s">
        <v>100</v>
      </c>
      <c r="BE64" s="10" t="s">
        <v>336</v>
      </c>
      <c r="BF64" s="10" t="s">
        <v>86</v>
      </c>
      <c r="BG64" s="10" t="s">
        <v>86</v>
      </c>
      <c r="BH64" s="10" t="s">
        <v>102</v>
      </c>
      <c r="BI64" s="11">
        <f>10*SUMPRODUCT(--(AY64:BH64&lt;&gt;""),--(((AY64:BH64=정답표!$C$10:$L$10)+(AY64:BH64=정답표!$C$11:$L$11))&gt;0))</f>
        <v>60</v>
      </c>
      <c r="BJ64" s="11">
        <f t="shared" si="10"/>
        <v>130</v>
      </c>
      <c r="BK64" s="12">
        <f t="shared" si="11"/>
        <v>3</v>
      </c>
      <c r="BL64" s="28">
        <f>IF(QuizMatchTable[[#This Row],[분반]]=1, QuizMatchTable[[#This Row],[퀴즈합계]]/4 *0.3, QuizMatchTable[[#This Row],[퀴즈합계]]/5*0.3)</f>
        <v>7.8</v>
      </c>
      <c r="BM64" s="28">
        <v>22.67</v>
      </c>
      <c r="BN64" s="28">
        <v>16.39</v>
      </c>
      <c r="BO64" s="13"/>
      <c r="BP64" s="28">
        <f>SUM(QuizMatchTable[[#This Row],[퀴즈점수(30)]],BM64,BN64,BO64)</f>
        <v>46.86</v>
      </c>
      <c r="BQ64" s="13">
        <f t="shared" si="9"/>
        <v>30</v>
      </c>
      <c r="BR64" s="33" t="s">
        <v>657</v>
      </c>
      <c r="BS64" s="13">
        <v>11</v>
      </c>
      <c r="BT64" s="13"/>
    </row>
    <row r="65" spans="1:72" x14ac:dyDescent="0.3">
      <c r="A65" s="30" t="s">
        <v>64</v>
      </c>
      <c r="B65" s="8">
        <v>3</v>
      </c>
      <c r="C65" s="8">
        <v>20220150</v>
      </c>
      <c r="D65" s="9" t="s">
        <v>390</v>
      </c>
      <c r="E65" s="8" t="s">
        <v>391</v>
      </c>
      <c r="F65" s="9" t="s">
        <v>392</v>
      </c>
      <c r="G65" s="10" t="s">
        <v>68</v>
      </c>
      <c r="H65" s="10" t="s">
        <v>69</v>
      </c>
      <c r="I65" s="10" t="s">
        <v>70</v>
      </c>
      <c r="J65" s="10" t="s">
        <v>71</v>
      </c>
      <c r="K65" s="10" t="s">
        <v>72</v>
      </c>
      <c r="L65" s="10" t="s">
        <v>73</v>
      </c>
      <c r="M65" s="10" t="s">
        <v>74</v>
      </c>
      <c r="N65" s="10" t="s">
        <v>75</v>
      </c>
      <c r="O65" s="10" t="s">
        <v>76</v>
      </c>
      <c r="P65" s="10" t="s">
        <v>77</v>
      </c>
      <c r="Q65" s="11">
        <f>10*SUMPRODUCT(--(G65:P65&lt;&gt;""),--(((G65:P65=정답표!$C$2:$L$2)+(G65:P65=정답표!$C$3:$L$3))&gt;0))</f>
        <v>100</v>
      </c>
      <c r="R65" s="10" t="s">
        <v>78</v>
      </c>
      <c r="S65" s="10" t="s">
        <v>79</v>
      </c>
      <c r="T65" s="10" t="s">
        <v>80</v>
      </c>
      <c r="U65" s="10" t="s">
        <v>81</v>
      </c>
      <c r="V65" s="10" t="s">
        <v>82</v>
      </c>
      <c r="W65" s="10" t="s">
        <v>83</v>
      </c>
      <c r="X65" s="10" t="s">
        <v>84</v>
      </c>
      <c r="Y65" s="10" t="s">
        <v>85</v>
      </c>
      <c r="Z65" s="10" t="s">
        <v>86</v>
      </c>
      <c r="AA65" s="10" t="s">
        <v>86</v>
      </c>
      <c r="AB65" s="11">
        <f>10*SUMPRODUCT(--(R65:AA65&lt;&gt;""),--(((R65:AA65=정답표!$C$4:$L$4)+(R65:AA65=정답표!$C$5:$L$5))&gt;0))</f>
        <v>100</v>
      </c>
      <c r="AC65" s="10" t="s">
        <v>87</v>
      </c>
      <c r="AD65" s="10" t="s">
        <v>88</v>
      </c>
      <c r="AE65" s="10" t="s">
        <v>89</v>
      </c>
      <c r="AF65" s="10" t="s">
        <v>90</v>
      </c>
      <c r="AG65" s="10" t="s">
        <v>91</v>
      </c>
      <c r="AH65" s="10" t="s">
        <v>92</v>
      </c>
      <c r="AI65" s="10" t="s">
        <v>93</v>
      </c>
      <c r="AJ65" s="10" t="s">
        <v>94</v>
      </c>
      <c r="AK65" s="10" t="s">
        <v>86</v>
      </c>
      <c r="AL65" s="10" t="s">
        <v>86</v>
      </c>
      <c r="AM65" s="11">
        <f>10*SUMPRODUCT(--(AC65:AL65&lt;&gt;""),--(((AC65:AL65=정답표!$C$6:$L$6)+(AC65:AL65=정답표!$C$7:$L$7))&gt;0))</f>
        <v>100</v>
      </c>
      <c r="AN65" s="10" t="s">
        <v>243</v>
      </c>
      <c r="AO65" s="10" t="s">
        <v>244</v>
      </c>
      <c r="AP65" s="10" t="s">
        <v>245</v>
      </c>
      <c r="AQ65" s="10" t="s">
        <v>246</v>
      </c>
      <c r="AR65" s="10" t="s">
        <v>247</v>
      </c>
      <c r="AS65" s="10" t="s">
        <v>248</v>
      </c>
      <c r="AT65" s="10" t="s">
        <v>249</v>
      </c>
      <c r="AU65" s="10" t="s">
        <v>250</v>
      </c>
      <c r="AV65" s="10" t="s">
        <v>86</v>
      </c>
      <c r="AW65" s="10" t="s">
        <v>86</v>
      </c>
      <c r="AX65" s="11">
        <f>10*SUMPRODUCT(--(AN65:AW65&lt;&gt;""),--(((AN65:AW65=정답표!$C$8:$L$8)+(AN65:AW65=정답표!$C$9:$L$9))&gt;0))</f>
        <v>100</v>
      </c>
      <c r="AY65" s="10" t="s">
        <v>95</v>
      </c>
      <c r="AZ65" s="10" t="s">
        <v>96</v>
      </c>
      <c r="BA65" s="10" t="s">
        <v>97</v>
      </c>
      <c r="BB65" s="10" t="s">
        <v>98</v>
      </c>
      <c r="BC65" s="10" t="s">
        <v>99</v>
      </c>
      <c r="BD65" s="10" t="s">
        <v>100</v>
      </c>
      <c r="BE65" s="10" t="s">
        <v>101</v>
      </c>
      <c r="BF65" s="10" t="s">
        <v>86</v>
      </c>
      <c r="BG65" s="10" t="s">
        <v>86</v>
      </c>
      <c r="BH65" s="10" t="s">
        <v>102</v>
      </c>
      <c r="BI65" s="11">
        <f>10*SUMPRODUCT(--(AY65:BH65&lt;&gt;""),--(((AY65:BH65=정답표!$C$10:$L$10)+(AY65:BH65=정답표!$C$11:$L$11))&gt;0))</f>
        <v>100</v>
      </c>
      <c r="BJ65" s="11">
        <f t="shared" si="10"/>
        <v>500</v>
      </c>
      <c r="BK65" s="12">
        <f t="shared" si="11"/>
        <v>5</v>
      </c>
      <c r="BL65" s="28">
        <f>IF(QuizMatchTable[[#This Row],[분반]]=1, QuizMatchTable[[#This Row],[퀴즈합계]]/4 *0.3, QuizMatchTable[[#This Row],[퀴즈합계]]/5*0.3)</f>
        <v>30</v>
      </c>
      <c r="BM65" s="28">
        <v>28.67</v>
      </c>
      <c r="BN65" s="28">
        <v>18.39</v>
      </c>
      <c r="BO65" s="13"/>
      <c r="BP65" s="28">
        <f>SUM(QuizMatchTable[[#This Row],[퀴즈점수(30)]],BM65,BN65,BO65)</f>
        <v>77.06</v>
      </c>
      <c r="BQ65" s="13">
        <f t="shared" si="9"/>
        <v>8</v>
      </c>
      <c r="BR65" s="33" t="s">
        <v>654</v>
      </c>
      <c r="BS65" s="13">
        <v>2</v>
      </c>
      <c r="BT65" s="13"/>
    </row>
    <row r="66" spans="1:72" x14ac:dyDescent="0.3">
      <c r="A66" s="30" t="s">
        <v>64</v>
      </c>
      <c r="B66" s="8">
        <v>3</v>
      </c>
      <c r="C66" s="8">
        <v>20220155</v>
      </c>
      <c r="D66" s="9" t="s">
        <v>408</v>
      </c>
      <c r="E66" s="8" t="s">
        <v>409</v>
      </c>
      <c r="F66" s="9" t="s">
        <v>410</v>
      </c>
      <c r="G66" s="10" t="s">
        <v>68</v>
      </c>
      <c r="H66" s="10" t="s">
        <v>69</v>
      </c>
      <c r="I66" s="10" t="s">
        <v>70</v>
      </c>
      <c r="J66" s="10" t="s">
        <v>71</v>
      </c>
      <c r="K66" s="10" t="s">
        <v>72</v>
      </c>
      <c r="L66" s="10" t="s">
        <v>73</v>
      </c>
      <c r="M66" s="10" t="s">
        <v>74</v>
      </c>
      <c r="N66" s="10" t="s">
        <v>75</v>
      </c>
      <c r="O66" s="10" t="s">
        <v>76</v>
      </c>
      <c r="P66" s="10" t="s">
        <v>77</v>
      </c>
      <c r="Q66" s="11">
        <f>10*SUMPRODUCT(--(G66:P66&lt;&gt;""),--(((G66:P66=정답표!$C$2:$L$2)+(G66:P66=정답표!$C$3:$L$3))&gt;0))</f>
        <v>100</v>
      </c>
      <c r="R66" s="10" t="s">
        <v>78</v>
      </c>
      <c r="S66" s="10" t="s">
        <v>79</v>
      </c>
      <c r="T66" s="10" t="s">
        <v>80</v>
      </c>
      <c r="U66" s="10" t="s">
        <v>81</v>
      </c>
      <c r="V66" s="10" t="s">
        <v>82</v>
      </c>
      <c r="W66" s="10" t="s">
        <v>83</v>
      </c>
      <c r="X66" s="10" t="s">
        <v>84</v>
      </c>
      <c r="Y66" s="10" t="s">
        <v>85</v>
      </c>
      <c r="Z66" s="10" t="s">
        <v>86</v>
      </c>
      <c r="AA66" s="10" t="s">
        <v>86</v>
      </c>
      <c r="AB66" s="11">
        <f>10*SUMPRODUCT(--(R66:AA66&lt;&gt;""),--(((R66:AA66=정답표!$C$4:$L$4)+(R66:AA66=정답표!$C$5:$L$5))&gt;0))</f>
        <v>100</v>
      </c>
      <c r="AC66" s="10" t="s">
        <v>284</v>
      </c>
      <c r="AD66" s="10" t="s">
        <v>88</v>
      </c>
      <c r="AE66" s="10" t="s">
        <v>89</v>
      </c>
      <c r="AF66" s="10" t="s">
        <v>90</v>
      </c>
      <c r="AG66" s="10" t="s">
        <v>91</v>
      </c>
      <c r="AH66" s="10" t="s">
        <v>92</v>
      </c>
      <c r="AI66" s="10" t="s">
        <v>93</v>
      </c>
      <c r="AJ66" s="10" t="s">
        <v>94</v>
      </c>
      <c r="AK66" s="10" t="s">
        <v>86</v>
      </c>
      <c r="AL66" s="10" t="s">
        <v>86</v>
      </c>
      <c r="AM66" s="11">
        <f>10*SUMPRODUCT(--(AC66:AL66&lt;&gt;""),--(((AC66:AL66=정답표!$C$6:$L$6)+(AC66:AL66=정답표!$C$7:$L$7))&gt;0))</f>
        <v>90</v>
      </c>
      <c r="AN66" s="10" t="s">
        <v>243</v>
      </c>
      <c r="AO66" s="10" t="s">
        <v>244</v>
      </c>
      <c r="AP66" s="10" t="s">
        <v>245</v>
      </c>
      <c r="AQ66" s="10" t="s">
        <v>246</v>
      </c>
      <c r="AR66" s="10" t="s">
        <v>247</v>
      </c>
      <c r="AS66" s="10" t="s">
        <v>248</v>
      </c>
      <c r="AT66" s="10" t="s">
        <v>249</v>
      </c>
      <c r="AU66" s="10" t="s">
        <v>250</v>
      </c>
      <c r="AV66" s="10" t="s">
        <v>86</v>
      </c>
      <c r="AW66" s="10" t="s">
        <v>86</v>
      </c>
      <c r="AX66" s="11">
        <f>10*SUMPRODUCT(--(AN66:AW66&lt;&gt;""),--(((AN66:AW66=정답표!$C$8:$L$8)+(AN66:AW66=정답표!$C$9:$L$9))&gt;0))</f>
        <v>100</v>
      </c>
      <c r="AY66" s="10" t="s">
        <v>95</v>
      </c>
      <c r="AZ66" s="10" t="s">
        <v>96</v>
      </c>
      <c r="BA66" s="10" t="s">
        <v>97</v>
      </c>
      <c r="BB66" s="10" t="s">
        <v>98</v>
      </c>
      <c r="BC66" s="10" t="s">
        <v>99</v>
      </c>
      <c r="BD66" s="10" t="s">
        <v>100</v>
      </c>
      <c r="BE66" s="10" t="s">
        <v>101</v>
      </c>
      <c r="BF66" s="10" t="s">
        <v>86</v>
      </c>
      <c r="BG66" s="10" t="s">
        <v>86</v>
      </c>
      <c r="BH66" s="10" t="s">
        <v>102</v>
      </c>
      <c r="BI66" s="11">
        <f>10*SUMPRODUCT(--(AY66:BH66&lt;&gt;""),--(((AY66:BH66=정답표!$C$10:$L$10)+(AY66:BH66=정답표!$C$11:$L$11))&gt;0))</f>
        <v>100</v>
      </c>
      <c r="BJ66" s="11">
        <f t="shared" si="10"/>
        <v>490</v>
      </c>
      <c r="BK66" s="12">
        <f t="shared" si="11"/>
        <v>5</v>
      </c>
      <c r="BL66" s="28">
        <f>IF(QuizMatchTable[[#This Row],[분반]]=1, QuizMatchTable[[#This Row],[퀴즈합계]]/4 *0.3, QuizMatchTable[[#This Row],[퀴즈합계]]/5*0.3)</f>
        <v>29.4</v>
      </c>
      <c r="BM66" s="28">
        <v>30</v>
      </c>
      <c r="BN66" s="28">
        <v>16.39</v>
      </c>
      <c r="BO66" s="13"/>
      <c r="BP66" s="28">
        <f>SUM(QuizMatchTable[[#This Row],[퀴즈점수(30)]],BM66,BN66,BO66)</f>
        <v>75.789999999999992</v>
      </c>
      <c r="BQ66" s="13">
        <f t="shared" ref="BQ66:BQ97" si="12">IF(OR(BP66="",BP66=0,BT66="결석초과"),"",COUNTIFS($B$2:$B$109,B66,$BP$2:$BP$109,"&gt;"&amp;BP66)+1)</f>
        <v>9</v>
      </c>
      <c r="BR66" s="33" t="s">
        <v>655</v>
      </c>
      <c r="BS66" s="13">
        <v>0</v>
      </c>
      <c r="BT66" s="13"/>
    </row>
    <row r="67" spans="1:72" x14ac:dyDescent="0.3">
      <c r="A67" s="30" t="s">
        <v>64</v>
      </c>
      <c r="B67" s="8">
        <v>3</v>
      </c>
      <c r="C67" s="8">
        <v>20220156</v>
      </c>
      <c r="D67" s="9" t="s">
        <v>486</v>
      </c>
      <c r="E67" s="8" t="s">
        <v>487</v>
      </c>
      <c r="F67" s="9" t="s">
        <v>488</v>
      </c>
      <c r="G67" s="10" t="s">
        <v>360</v>
      </c>
      <c r="H67" s="10" t="s">
        <v>69</v>
      </c>
      <c r="I67" s="10" t="s">
        <v>208</v>
      </c>
      <c r="J67" s="10" t="s">
        <v>71</v>
      </c>
      <c r="K67" s="10" t="s">
        <v>474</v>
      </c>
      <c r="L67" s="10" t="s">
        <v>73</v>
      </c>
      <c r="M67" s="10" t="s">
        <v>211</v>
      </c>
      <c r="N67" s="10" t="s">
        <v>212</v>
      </c>
      <c r="O67" s="10" t="s">
        <v>76</v>
      </c>
      <c r="P67" s="10" t="s">
        <v>77</v>
      </c>
      <c r="Q67" s="11">
        <f>10*SUMPRODUCT(--(G67:P67&lt;&gt;""),--(((G67:P67=정답표!$C$2:$L$2)+(G67:P67=정답표!$C$3:$L$3))&gt;0))</f>
        <v>50</v>
      </c>
      <c r="R67" s="10" t="s">
        <v>343</v>
      </c>
      <c r="S67" s="10" t="s">
        <v>379</v>
      </c>
      <c r="T67" s="10" t="s">
        <v>380</v>
      </c>
      <c r="U67" s="10" t="s">
        <v>81</v>
      </c>
      <c r="V67" s="10" t="s">
        <v>363</v>
      </c>
      <c r="W67" s="10" t="s">
        <v>83</v>
      </c>
      <c r="X67" s="10" t="s">
        <v>84</v>
      </c>
      <c r="Y67" s="10" t="s">
        <v>85</v>
      </c>
      <c r="Z67" s="10" t="s">
        <v>86</v>
      </c>
      <c r="AA67" s="10" t="s">
        <v>86</v>
      </c>
      <c r="AB67" s="11">
        <f>10*SUMPRODUCT(--(R67:AA67&lt;&gt;""),--(((R67:AA67=정답표!$C$4:$L$4)+(R67:AA67=정답표!$C$5:$L$5))&gt;0))</f>
        <v>60</v>
      </c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1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1"/>
      <c r="AY67" s="10" t="s">
        <v>95</v>
      </c>
      <c r="AZ67" s="10" t="s">
        <v>96</v>
      </c>
      <c r="BA67" s="10" t="s">
        <v>97</v>
      </c>
      <c r="BB67" s="10" t="s">
        <v>98</v>
      </c>
      <c r="BC67" s="10" t="s">
        <v>99</v>
      </c>
      <c r="BD67" s="10" t="s">
        <v>100</v>
      </c>
      <c r="BE67" s="10" t="s">
        <v>101</v>
      </c>
      <c r="BF67" s="10" t="s">
        <v>86</v>
      </c>
      <c r="BG67" s="10" t="s">
        <v>86</v>
      </c>
      <c r="BH67" s="10" t="s">
        <v>102</v>
      </c>
      <c r="BI67" s="11">
        <f>10*SUMPRODUCT(--(AY67:BH67&lt;&gt;""),--(((AY67:BH67=정답표!$C$10:$L$10)+(AY67:BH67=정답표!$C$11:$L$11))&gt;0))</f>
        <v>100</v>
      </c>
      <c r="BJ67" s="11">
        <f t="shared" si="10"/>
        <v>210</v>
      </c>
      <c r="BK67" s="12">
        <f t="shared" si="11"/>
        <v>3</v>
      </c>
      <c r="BL67" s="28">
        <f>IF(QuizMatchTable[[#This Row],[분반]]=1, QuizMatchTable[[#This Row],[퀴즈합계]]/4 *0.3, QuizMatchTable[[#This Row],[퀴즈합계]]/5*0.3)</f>
        <v>12.6</v>
      </c>
      <c r="BM67" s="28">
        <v>24.67</v>
      </c>
      <c r="BN67" s="28">
        <v>19.2</v>
      </c>
      <c r="BO67" s="13"/>
      <c r="BP67" s="28">
        <f>SUM(QuizMatchTable[[#This Row],[퀴즈점수(30)]],BM67,BN67,BO67)</f>
        <v>56.47</v>
      </c>
      <c r="BQ67" s="13">
        <f t="shared" si="12"/>
        <v>26</v>
      </c>
      <c r="BR67" s="33" t="s">
        <v>657</v>
      </c>
      <c r="BS67" s="13">
        <v>8</v>
      </c>
      <c r="BT67" s="13"/>
    </row>
    <row r="68" spans="1:72" x14ac:dyDescent="0.3">
      <c r="A68" s="30" t="s">
        <v>64</v>
      </c>
      <c r="B68" s="8">
        <v>3</v>
      </c>
      <c r="C68" s="8">
        <v>20220157</v>
      </c>
      <c r="D68" s="9" t="s">
        <v>460</v>
      </c>
      <c r="E68" s="8" t="s">
        <v>461</v>
      </c>
      <c r="F68" s="9" t="s">
        <v>462</v>
      </c>
      <c r="G68" s="10" t="s">
        <v>68</v>
      </c>
      <c r="H68" s="10" t="s">
        <v>463</v>
      </c>
      <c r="I68" s="10" t="s">
        <v>70</v>
      </c>
      <c r="J68" s="10" t="s">
        <v>71</v>
      </c>
      <c r="K68" s="10" t="s">
        <v>72</v>
      </c>
      <c r="L68" s="10" t="s">
        <v>73</v>
      </c>
      <c r="M68" s="10" t="s">
        <v>74</v>
      </c>
      <c r="N68" s="10" t="s">
        <v>75</v>
      </c>
      <c r="O68" s="10" t="s">
        <v>76</v>
      </c>
      <c r="P68" s="10" t="s">
        <v>77</v>
      </c>
      <c r="Q68" s="11">
        <f>10*SUMPRODUCT(--(G68:P68&lt;&gt;""),--(((G68:P68=정답표!$C$2:$L$2)+(G68:P68=정답표!$C$3:$L$3))&gt;0))</f>
        <v>90</v>
      </c>
      <c r="R68" s="10" t="s">
        <v>78</v>
      </c>
      <c r="S68" s="10" t="s">
        <v>79</v>
      </c>
      <c r="T68" s="10" t="s">
        <v>80</v>
      </c>
      <c r="U68" s="10" t="s">
        <v>81</v>
      </c>
      <c r="V68" s="10" t="s">
        <v>82</v>
      </c>
      <c r="W68" s="10" t="s">
        <v>83</v>
      </c>
      <c r="X68" s="10" t="s">
        <v>84</v>
      </c>
      <c r="Y68" s="10" t="s">
        <v>85</v>
      </c>
      <c r="Z68" s="10" t="s">
        <v>86</v>
      </c>
      <c r="AA68" s="10" t="s">
        <v>86</v>
      </c>
      <c r="AB68" s="11">
        <f>10*SUMPRODUCT(--(R68:AA68&lt;&gt;""),--(((R68:AA68=정답표!$C$4:$L$4)+(R68:AA68=정답표!$C$5:$L$5))&gt;0))</f>
        <v>100</v>
      </c>
      <c r="AC68" s="10" t="s">
        <v>87</v>
      </c>
      <c r="AD68" s="10" t="s">
        <v>88</v>
      </c>
      <c r="AE68" s="10" t="s">
        <v>89</v>
      </c>
      <c r="AF68" s="10" t="s">
        <v>90</v>
      </c>
      <c r="AG68" s="10" t="s">
        <v>91</v>
      </c>
      <c r="AH68" s="10" t="s">
        <v>92</v>
      </c>
      <c r="AI68" s="10" t="s">
        <v>93</v>
      </c>
      <c r="AJ68" s="10" t="s">
        <v>94</v>
      </c>
      <c r="AK68" s="10" t="s">
        <v>86</v>
      </c>
      <c r="AL68" s="10" t="s">
        <v>86</v>
      </c>
      <c r="AM68" s="11">
        <f>10*SUMPRODUCT(--(AC68:AL68&lt;&gt;""),--(((AC68:AL68=정답표!$C$6:$L$6)+(AC68:AL68=정답표!$C$7:$L$7))&gt;0))</f>
        <v>100</v>
      </c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1"/>
      <c r="AY68" s="10" t="s">
        <v>95</v>
      </c>
      <c r="AZ68" s="10" t="s">
        <v>96</v>
      </c>
      <c r="BA68" s="10" t="s">
        <v>97</v>
      </c>
      <c r="BB68" s="10" t="s">
        <v>98</v>
      </c>
      <c r="BC68" s="10" t="s">
        <v>99</v>
      </c>
      <c r="BD68" s="10" t="s">
        <v>302</v>
      </c>
      <c r="BE68" s="10" t="s">
        <v>101</v>
      </c>
      <c r="BF68" s="10" t="s">
        <v>86</v>
      </c>
      <c r="BG68" s="10" t="s">
        <v>86</v>
      </c>
      <c r="BH68" s="10" t="s">
        <v>102</v>
      </c>
      <c r="BI68" s="11">
        <f>10*SUMPRODUCT(--(AY68:BH68&lt;&gt;""),--(((AY68:BH68=정답표!$C$10:$L$10)+(AY68:BH68=정답표!$C$11:$L$11))&gt;0))</f>
        <v>90</v>
      </c>
      <c r="BJ68" s="11">
        <f t="shared" si="10"/>
        <v>380</v>
      </c>
      <c r="BK68" s="12">
        <f t="shared" si="11"/>
        <v>4</v>
      </c>
      <c r="BL68" s="28">
        <f>IF(QuizMatchTable[[#This Row],[분반]]=1, QuizMatchTable[[#This Row],[퀴즈합계]]/4 *0.3, QuizMatchTable[[#This Row],[퀴즈합계]]/5*0.3)</f>
        <v>22.8</v>
      </c>
      <c r="BM68" s="28">
        <v>28</v>
      </c>
      <c r="BN68" s="28">
        <v>17.2</v>
      </c>
      <c r="BO68" s="13"/>
      <c r="BP68" s="28">
        <f>SUM(QuizMatchTable[[#This Row],[퀴즈점수(30)]],BM68,BN68,BO68)</f>
        <v>68</v>
      </c>
      <c r="BQ68" s="13">
        <f t="shared" si="12"/>
        <v>19</v>
      </c>
      <c r="BR68" s="33" t="s">
        <v>656</v>
      </c>
      <c r="BS68" s="13">
        <v>3</v>
      </c>
      <c r="BT68" s="13"/>
    </row>
    <row r="69" spans="1:72" x14ac:dyDescent="0.3">
      <c r="A69" s="30" t="s">
        <v>64</v>
      </c>
      <c r="B69" s="8">
        <v>3</v>
      </c>
      <c r="C69" s="8">
        <v>20220158</v>
      </c>
      <c r="D69" s="9" t="s">
        <v>426</v>
      </c>
      <c r="E69" s="8" t="s">
        <v>427</v>
      </c>
      <c r="F69" s="9" t="s">
        <v>428</v>
      </c>
      <c r="G69" s="10" t="s">
        <v>68</v>
      </c>
      <c r="H69" s="10" t="s">
        <v>69</v>
      </c>
      <c r="I69" s="10" t="s">
        <v>70</v>
      </c>
      <c r="J69" s="10" t="s">
        <v>71</v>
      </c>
      <c r="K69" s="10" t="s">
        <v>72</v>
      </c>
      <c r="L69" s="10" t="s">
        <v>73</v>
      </c>
      <c r="M69" s="10" t="s">
        <v>74</v>
      </c>
      <c r="N69" s="10" t="s">
        <v>75</v>
      </c>
      <c r="O69" s="10" t="s">
        <v>76</v>
      </c>
      <c r="P69" s="10" t="s">
        <v>77</v>
      </c>
      <c r="Q69" s="11">
        <f>10*SUMPRODUCT(--(G69:P69&lt;&gt;""),--(((G69:P69=정답표!$C$2:$L$2)+(G69:P69=정답표!$C$3:$L$3))&gt;0))</f>
        <v>100</v>
      </c>
      <c r="R69" s="10" t="s">
        <v>78</v>
      </c>
      <c r="S69" s="10" t="s">
        <v>79</v>
      </c>
      <c r="T69" s="10" t="s">
        <v>80</v>
      </c>
      <c r="U69" s="10" t="s">
        <v>81</v>
      </c>
      <c r="V69" s="10" t="s">
        <v>82</v>
      </c>
      <c r="W69" s="10" t="s">
        <v>83</v>
      </c>
      <c r="X69" s="10" t="s">
        <v>84</v>
      </c>
      <c r="Y69" s="10" t="s">
        <v>85</v>
      </c>
      <c r="Z69" s="10" t="s">
        <v>86</v>
      </c>
      <c r="AA69" s="10" t="s">
        <v>86</v>
      </c>
      <c r="AB69" s="11">
        <f>10*SUMPRODUCT(--(R69:AA69&lt;&gt;""),--(((R69:AA69=정답표!$C$4:$L$4)+(R69:AA69=정답표!$C$5:$L$5))&gt;0))</f>
        <v>100</v>
      </c>
      <c r="AC69" s="10" t="s">
        <v>87</v>
      </c>
      <c r="AD69" s="10" t="s">
        <v>384</v>
      </c>
      <c r="AE69" s="10" t="s">
        <v>89</v>
      </c>
      <c r="AF69" s="10" t="s">
        <v>90</v>
      </c>
      <c r="AG69" s="10" t="s">
        <v>161</v>
      </c>
      <c r="AH69" s="10" t="s">
        <v>92</v>
      </c>
      <c r="AI69" s="10" t="s">
        <v>93</v>
      </c>
      <c r="AJ69" s="10" t="s">
        <v>94</v>
      </c>
      <c r="AK69" s="10" t="s">
        <v>86</v>
      </c>
      <c r="AL69" s="10" t="s">
        <v>86</v>
      </c>
      <c r="AM69" s="11">
        <f>10*SUMPRODUCT(--(AC69:AL69&lt;&gt;""),--(((AC69:AL69=정답표!$C$6:$L$6)+(AC69:AL69=정답표!$C$7:$L$7))&gt;0))</f>
        <v>80</v>
      </c>
      <c r="AN69" s="10" t="s">
        <v>243</v>
      </c>
      <c r="AO69" s="10" t="s">
        <v>244</v>
      </c>
      <c r="AP69" s="10" t="s">
        <v>245</v>
      </c>
      <c r="AQ69" s="10" t="s">
        <v>246</v>
      </c>
      <c r="AR69" s="10" t="s">
        <v>247</v>
      </c>
      <c r="AS69" s="10" t="s">
        <v>248</v>
      </c>
      <c r="AT69" s="10" t="s">
        <v>249</v>
      </c>
      <c r="AU69" s="10" t="s">
        <v>250</v>
      </c>
      <c r="AV69" s="10" t="s">
        <v>86</v>
      </c>
      <c r="AW69" s="10" t="s">
        <v>86</v>
      </c>
      <c r="AX69" s="11">
        <f>10*SUMPRODUCT(--(AN69:AW69&lt;&gt;""),--(((AN69:AW69=정답표!$C$8:$L$8)+(AN69:AW69=정답표!$C$9:$L$9))&gt;0))</f>
        <v>100</v>
      </c>
      <c r="AY69" s="10" t="s">
        <v>95</v>
      </c>
      <c r="AZ69" s="10" t="s">
        <v>96</v>
      </c>
      <c r="BA69" s="10" t="s">
        <v>97</v>
      </c>
      <c r="BB69" s="10" t="s">
        <v>199</v>
      </c>
      <c r="BC69" s="10" t="s">
        <v>99</v>
      </c>
      <c r="BD69" s="10" t="s">
        <v>302</v>
      </c>
      <c r="BE69" s="10" t="s">
        <v>101</v>
      </c>
      <c r="BF69" s="10" t="s">
        <v>86</v>
      </c>
      <c r="BG69" s="10" t="s">
        <v>86</v>
      </c>
      <c r="BH69" s="10" t="s">
        <v>102</v>
      </c>
      <c r="BI69" s="11">
        <f>10*SUMPRODUCT(--(AY69:BH69&lt;&gt;""),--(((AY69:BH69=정답표!$C$10:$L$10)+(AY69:BH69=정답표!$C$11:$L$11))&gt;0))</f>
        <v>80</v>
      </c>
      <c r="BJ69" s="11">
        <f t="shared" si="10"/>
        <v>460</v>
      </c>
      <c r="BK69" s="12">
        <f t="shared" si="11"/>
        <v>5</v>
      </c>
      <c r="BL69" s="28">
        <f>IF(QuizMatchTable[[#This Row],[분반]]=1, QuizMatchTable[[#This Row],[퀴즈합계]]/4 *0.3, QuizMatchTable[[#This Row],[퀴즈합계]]/5*0.3)</f>
        <v>27.599999999999998</v>
      </c>
      <c r="BM69" s="28">
        <v>28</v>
      </c>
      <c r="BN69" s="28">
        <v>19.2</v>
      </c>
      <c r="BO69" s="13"/>
      <c r="BP69" s="28">
        <f>SUM(QuizMatchTable[[#This Row],[퀴즈점수(30)]],BM69,BN69,BO69)</f>
        <v>74.8</v>
      </c>
      <c r="BQ69" s="13">
        <f t="shared" si="12"/>
        <v>10</v>
      </c>
      <c r="BR69" s="33" t="s">
        <v>655</v>
      </c>
      <c r="BS69" s="13">
        <v>3</v>
      </c>
      <c r="BT69" s="13"/>
    </row>
    <row r="70" spans="1:72" x14ac:dyDescent="0.3">
      <c r="A70" s="30" t="s">
        <v>64</v>
      </c>
      <c r="B70" s="8">
        <v>3</v>
      </c>
      <c r="C70" s="8">
        <v>20220160</v>
      </c>
      <c r="D70" s="9" t="s">
        <v>504</v>
      </c>
      <c r="E70" s="8" t="s">
        <v>505</v>
      </c>
      <c r="F70" s="9" t="s">
        <v>506</v>
      </c>
      <c r="G70" s="10" t="s">
        <v>360</v>
      </c>
      <c r="H70" s="10" t="s">
        <v>417</v>
      </c>
      <c r="I70" s="10" t="s">
        <v>495</v>
      </c>
      <c r="J70" s="10" t="s">
        <v>71</v>
      </c>
      <c r="K70" s="10" t="s">
        <v>507</v>
      </c>
      <c r="L70" s="10" t="s">
        <v>73</v>
      </c>
      <c r="M70" s="10" t="s">
        <v>508</v>
      </c>
      <c r="N70" s="10" t="s">
        <v>212</v>
      </c>
      <c r="O70" s="10" t="s">
        <v>77</v>
      </c>
      <c r="P70" s="10" t="s">
        <v>77</v>
      </c>
      <c r="Q70" s="11">
        <f>10*SUMPRODUCT(--(G70:P70&lt;&gt;""),--(((G70:P70=정답표!$C$2:$L$2)+(G70:P70=정답표!$C$3:$L$3))&gt;0))</f>
        <v>30</v>
      </c>
      <c r="R70" s="10" t="s">
        <v>509</v>
      </c>
      <c r="S70" s="10" t="s">
        <v>79</v>
      </c>
      <c r="T70" s="10" t="s">
        <v>153</v>
      </c>
      <c r="U70" s="10" t="s">
        <v>81</v>
      </c>
      <c r="V70" s="10" t="s">
        <v>510</v>
      </c>
      <c r="W70" s="10" t="s">
        <v>497</v>
      </c>
      <c r="X70" s="10" t="s">
        <v>84</v>
      </c>
      <c r="Y70" s="10" t="s">
        <v>136</v>
      </c>
      <c r="Z70" s="10" t="s">
        <v>86</v>
      </c>
      <c r="AA70" s="10" t="s">
        <v>86</v>
      </c>
      <c r="AB70" s="11">
        <f>10*SUMPRODUCT(--(R70:AA70&lt;&gt;""),--(((R70:AA70=정답표!$C$4:$L$4)+(R70:AA70=정답표!$C$5:$L$5))&gt;0))</f>
        <v>50</v>
      </c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1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1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1"/>
      <c r="BJ70" s="11">
        <f t="shared" si="10"/>
        <v>80</v>
      </c>
      <c r="BK70" s="12">
        <f t="shared" si="11"/>
        <v>2</v>
      </c>
      <c r="BL70" s="28">
        <f>IF(QuizMatchTable[[#This Row],[분반]]=1, QuizMatchTable[[#This Row],[퀴즈합계]]/4 *0.3, QuizMatchTable[[#This Row],[퀴즈합계]]/5*0.3)</f>
        <v>4.8</v>
      </c>
      <c r="BM70" s="28">
        <v>24</v>
      </c>
      <c r="BN70" s="28">
        <v>15.2</v>
      </c>
      <c r="BO70" s="13"/>
      <c r="BP70" s="28">
        <f>SUM(QuizMatchTable[[#This Row],[퀴즈점수(30)]],BM70,BN70,BO70)</f>
        <v>44</v>
      </c>
      <c r="BQ70" s="13">
        <f t="shared" si="12"/>
        <v>31</v>
      </c>
      <c r="BR70" s="33" t="s">
        <v>657</v>
      </c>
      <c r="BS70" s="13">
        <v>9</v>
      </c>
      <c r="BT70" s="13"/>
    </row>
    <row r="71" spans="1:72" x14ac:dyDescent="0.3">
      <c r="A71" s="30" t="s">
        <v>64</v>
      </c>
      <c r="B71" s="8">
        <v>3</v>
      </c>
      <c r="C71" s="8">
        <v>20220161</v>
      </c>
      <c r="D71" s="9" t="s">
        <v>468</v>
      </c>
      <c r="E71" s="8" t="s">
        <v>469</v>
      </c>
      <c r="F71" s="9" t="s">
        <v>470</v>
      </c>
      <c r="G71" s="10" t="s">
        <v>68</v>
      </c>
      <c r="H71" s="10" t="s">
        <v>69</v>
      </c>
      <c r="I71" s="10" t="s">
        <v>70</v>
      </c>
      <c r="J71" s="10" t="s">
        <v>71</v>
      </c>
      <c r="K71" s="10" t="s">
        <v>72</v>
      </c>
      <c r="L71" s="10" t="s">
        <v>73</v>
      </c>
      <c r="M71" s="10" t="s">
        <v>326</v>
      </c>
      <c r="N71" s="10" t="s">
        <v>75</v>
      </c>
      <c r="O71" s="10" t="s">
        <v>76</v>
      </c>
      <c r="P71" s="10" t="s">
        <v>77</v>
      </c>
      <c r="Q71" s="11">
        <f>10*SUMPRODUCT(--(G71:P71&lt;&gt;""),--(((G71:P71=정답표!$C$2:$L$2)+(G71:P71=정답표!$C$3:$L$3))&gt;0))</f>
        <v>90</v>
      </c>
      <c r="R71" s="10" t="s">
        <v>78</v>
      </c>
      <c r="S71" s="10" t="s">
        <v>79</v>
      </c>
      <c r="T71" s="10" t="s">
        <v>80</v>
      </c>
      <c r="U71" s="10" t="s">
        <v>81</v>
      </c>
      <c r="V71" s="10" t="s">
        <v>82</v>
      </c>
      <c r="W71" s="10" t="s">
        <v>83</v>
      </c>
      <c r="X71" s="10" t="s">
        <v>84</v>
      </c>
      <c r="Y71" s="10" t="s">
        <v>85</v>
      </c>
      <c r="Z71" s="10" t="s">
        <v>86</v>
      </c>
      <c r="AA71" s="10" t="s">
        <v>86</v>
      </c>
      <c r="AB71" s="11">
        <f>10*SUMPRODUCT(--(R71:AA71&lt;&gt;""),--(((R71:AA71=정답표!$C$4:$L$4)+(R71:AA71=정답표!$C$5:$L$5))&gt;0))</f>
        <v>100</v>
      </c>
      <c r="AC71" s="10" t="s">
        <v>87</v>
      </c>
      <c r="AD71" s="10" t="s">
        <v>320</v>
      </c>
      <c r="AE71" s="10" t="s">
        <v>89</v>
      </c>
      <c r="AF71" s="10" t="s">
        <v>90</v>
      </c>
      <c r="AG71" s="10" t="s">
        <v>91</v>
      </c>
      <c r="AH71" s="10" t="s">
        <v>92</v>
      </c>
      <c r="AI71" s="10" t="s">
        <v>93</v>
      </c>
      <c r="AJ71" s="10" t="s">
        <v>94</v>
      </c>
      <c r="AK71" s="10" t="s">
        <v>86</v>
      </c>
      <c r="AL71" s="10" t="s">
        <v>86</v>
      </c>
      <c r="AM71" s="11">
        <f>10*SUMPRODUCT(--(AC71:AL71&lt;&gt;""),--(((AC71:AL71=정답표!$C$6:$L$6)+(AC71:AL71=정답표!$C$7:$L$7))&gt;0))</f>
        <v>90</v>
      </c>
      <c r="AN71" s="10" t="s">
        <v>243</v>
      </c>
      <c r="AO71" s="10" t="s">
        <v>244</v>
      </c>
      <c r="AP71" s="10" t="s">
        <v>364</v>
      </c>
      <c r="AQ71" s="10" t="s">
        <v>246</v>
      </c>
      <c r="AR71" s="10" t="s">
        <v>247</v>
      </c>
      <c r="AS71" s="10" t="s">
        <v>347</v>
      </c>
      <c r="AT71" s="10" t="s">
        <v>249</v>
      </c>
      <c r="AU71" s="10" t="s">
        <v>250</v>
      </c>
      <c r="AV71" s="10" t="s">
        <v>86</v>
      </c>
      <c r="AW71" s="10" t="s">
        <v>86</v>
      </c>
      <c r="AX71" s="11">
        <f>10*SUMPRODUCT(--(AN71:AW71&lt;&gt;""),--(((AN71:AW71=정답표!$C$8:$L$8)+(AN71:AW71=정답표!$C$9:$L$9))&gt;0))</f>
        <v>80</v>
      </c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1"/>
      <c r="BJ71" s="11">
        <f t="shared" si="10"/>
        <v>360</v>
      </c>
      <c r="BK71" s="12">
        <f t="shared" si="11"/>
        <v>4</v>
      </c>
      <c r="BL71" s="28">
        <f>IF(QuizMatchTable[[#This Row],[분반]]=1, QuizMatchTable[[#This Row],[퀴즈합계]]/4 *0.3, QuizMatchTable[[#This Row],[퀴즈합계]]/5*0.3)</f>
        <v>21.599999999999998</v>
      </c>
      <c r="BM71" s="28">
        <v>24</v>
      </c>
      <c r="BN71" s="28">
        <v>18.8</v>
      </c>
      <c r="BO71" s="13"/>
      <c r="BP71" s="28">
        <f>SUM(QuizMatchTable[[#This Row],[퀴즈점수(30)]],BM71,BN71,BO71)</f>
        <v>64.399999999999991</v>
      </c>
      <c r="BQ71" s="13">
        <f t="shared" si="12"/>
        <v>23</v>
      </c>
      <c r="BR71" s="33" t="s">
        <v>657</v>
      </c>
      <c r="BS71" s="13">
        <v>9</v>
      </c>
      <c r="BT71" s="13"/>
    </row>
    <row r="72" spans="1:72" x14ac:dyDescent="0.3">
      <c r="A72" s="30" t="s">
        <v>64</v>
      </c>
      <c r="B72" s="8">
        <v>3</v>
      </c>
      <c r="C72" s="8">
        <v>20220162</v>
      </c>
      <c r="D72" s="9" t="s">
        <v>480</v>
      </c>
      <c r="E72" s="8" t="s">
        <v>481</v>
      </c>
      <c r="F72" s="9" t="s">
        <v>482</v>
      </c>
      <c r="G72" s="10" t="s">
        <v>68</v>
      </c>
      <c r="H72" s="10" t="s">
        <v>69</v>
      </c>
      <c r="I72" s="10" t="s">
        <v>70</v>
      </c>
      <c r="J72" s="10" t="s">
        <v>71</v>
      </c>
      <c r="K72" s="10" t="s">
        <v>72</v>
      </c>
      <c r="L72" s="10" t="s">
        <v>73</v>
      </c>
      <c r="M72" s="10" t="s">
        <v>74</v>
      </c>
      <c r="N72" s="10" t="s">
        <v>75</v>
      </c>
      <c r="O72" s="10" t="s">
        <v>76</v>
      </c>
      <c r="P72" s="10" t="s">
        <v>77</v>
      </c>
      <c r="Q72" s="11">
        <f>10*SUMPRODUCT(--(G72:P72&lt;&gt;""),--(((G72:P72=정답표!$C$2:$L$2)+(G72:P72=정답표!$C$3:$L$3))&gt;0))</f>
        <v>100</v>
      </c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1"/>
      <c r="AC72" s="10" t="s">
        <v>87</v>
      </c>
      <c r="AD72" s="10" t="s">
        <v>88</v>
      </c>
      <c r="AE72" s="10" t="s">
        <v>89</v>
      </c>
      <c r="AF72" s="10" t="s">
        <v>90</v>
      </c>
      <c r="AG72" s="10" t="s">
        <v>91</v>
      </c>
      <c r="AH72" s="10" t="s">
        <v>92</v>
      </c>
      <c r="AI72" s="10" t="s">
        <v>93</v>
      </c>
      <c r="AJ72" s="10" t="s">
        <v>94</v>
      </c>
      <c r="AK72" s="10" t="s">
        <v>86</v>
      </c>
      <c r="AL72" s="10" t="s">
        <v>86</v>
      </c>
      <c r="AM72" s="11">
        <f>10*SUMPRODUCT(--(AC72:AL72&lt;&gt;""),--(((AC72:AL72=정답표!$C$6:$L$6)+(AC72:AL72=정답표!$C$7:$L$7))&gt;0))</f>
        <v>100</v>
      </c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1"/>
      <c r="AY72" s="10" t="s">
        <v>95</v>
      </c>
      <c r="AZ72" s="10" t="s">
        <v>96</v>
      </c>
      <c r="BA72" s="10" t="s">
        <v>97</v>
      </c>
      <c r="BB72" s="10" t="s">
        <v>98</v>
      </c>
      <c r="BC72" s="10" t="s">
        <v>99</v>
      </c>
      <c r="BD72" s="10" t="s">
        <v>100</v>
      </c>
      <c r="BE72" s="10" t="s">
        <v>101</v>
      </c>
      <c r="BF72" s="10" t="s">
        <v>86</v>
      </c>
      <c r="BG72" s="10" t="s">
        <v>86</v>
      </c>
      <c r="BH72" s="10" t="s">
        <v>86</v>
      </c>
      <c r="BI72" s="11">
        <f>10*SUMPRODUCT(--(AY72:BH72&lt;&gt;""),--(((AY72:BH72=정답표!$C$10:$L$10)+(AY72:BH72=정답표!$C$11:$L$11))&gt;0))</f>
        <v>90</v>
      </c>
      <c r="BJ72" s="11">
        <f t="shared" si="10"/>
        <v>290</v>
      </c>
      <c r="BK72" s="12">
        <f t="shared" si="11"/>
        <v>3</v>
      </c>
      <c r="BL72" s="28">
        <f>IF(QuizMatchTable[[#This Row],[분반]]=1, QuizMatchTable[[#This Row],[퀴즈합계]]/4 *0.3, QuizMatchTable[[#This Row],[퀴즈합계]]/5*0.3)</f>
        <v>17.399999999999999</v>
      </c>
      <c r="BM72" s="28">
        <v>26.67</v>
      </c>
      <c r="BN72" s="28">
        <v>19.600000000000001</v>
      </c>
      <c r="BO72" s="13"/>
      <c r="BP72" s="28">
        <f>SUM(QuizMatchTable[[#This Row],[퀴즈점수(30)]],BM72,BN72,BO72)</f>
        <v>63.67</v>
      </c>
      <c r="BQ72" s="13">
        <f t="shared" si="12"/>
        <v>24</v>
      </c>
      <c r="BR72" s="33" t="s">
        <v>657</v>
      </c>
      <c r="BS72" s="13">
        <v>5</v>
      </c>
      <c r="BT72" s="13"/>
    </row>
    <row r="73" spans="1:72" x14ac:dyDescent="0.3">
      <c r="A73" s="30" t="s">
        <v>64</v>
      </c>
      <c r="B73" s="8">
        <v>3</v>
      </c>
      <c r="C73" s="8">
        <v>20220163</v>
      </c>
      <c r="D73" s="9" t="s">
        <v>393</v>
      </c>
      <c r="E73" s="8" t="s">
        <v>394</v>
      </c>
      <c r="F73" s="9" t="s">
        <v>395</v>
      </c>
      <c r="G73" s="10" t="s">
        <v>68</v>
      </c>
      <c r="H73" s="10" t="s">
        <v>69</v>
      </c>
      <c r="I73" s="10" t="s">
        <v>70</v>
      </c>
      <c r="J73" s="10" t="s">
        <v>71</v>
      </c>
      <c r="K73" s="10" t="s">
        <v>72</v>
      </c>
      <c r="L73" s="10" t="s">
        <v>73</v>
      </c>
      <c r="M73" s="10" t="s">
        <v>74</v>
      </c>
      <c r="N73" s="10" t="s">
        <v>75</v>
      </c>
      <c r="O73" s="10" t="s">
        <v>76</v>
      </c>
      <c r="P73" s="10" t="s">
        <v>77</v>
      </c>
      <c r="Q73" s="11">
        <f>10*SUMPRODUCT(--(G73:P73&lt;&gt;""),--(((G73:P73=정답표!$C$2:$L$2)+(G73:P73=정답표!$C$3:$L$3))&gt;0))</f>
        <v>100</v>
      </c>
      <c r="R73" s="10" t="s">
        <v>78</v>
      </c>
      <c r="S73" s="10" t="s">
        <v>79</v>
      </c>
      <c r="T73" s="10" t="s">
        <v>80</v>
      </c>
      <c r="U73" s="10" t="s">
        <v>81</v>
      </c>
      <c r="V73" s="10" t="s">
        <v>82</v>
      </c>
      <c r="W73" s="10" t="s">
        <v>83</v>
      </c>
      <c r="X73" s="10" t="s">
        <v>84</v>
      </c>
      <c r="Y73" s="10" t="s">
        <v>85</v>
      </c>
      <c r="Z73" s="10" t="s">
        <v>86</v>
      </c>
      <c r="AA73" s="10" t="s">
        <v>86</v>
      </c>
      <c r="AB73" s="11">
        <f>10*SUMPRODUCT(--(R73:AA73&lt;&gt;""),--(((R73:AA73=정답표!$C$4:$L$4)+(R73:AA73=정답표!$C$5:$L$5))&gt;0))</f>
        <v>100</v>
      </c>
      <c r="AC73" s="10" t="s">
        <v>87</v>
      </c>
      <c r="AD73" s="10" t="s">
        <v>88</v>
      </c>
      <c r="AE73" s="10" t="s">
        <v>89</v>
      </c>
      <c r="AF73" s="10" t="s">
        <v>90</v>
      </c>
      <c r="AG73" s="10" t="s">
        <v>91</v>
      </c>
      <c r="AH73" s="10" t="s">
        <v>92</v>
      </c>
      <c r="AI73" s="10" t="s">
        <v>93</v>
      </c>
      <c r="AJ73" s="10" t="s">
        <v>94</v>
      </c>
      <c r="AK73" s="10" t="s">
        <v>86</v>
      </c>
      <c r="AL73" s="10" t="s">
        <v>86</v>
      </c>
      <c r="AM73" s="11">
        <f>10*SUMPRODUCT(--(AC73:AL73&lt;&gt;""),--(((AC73:AL73=정답표!$C$6:$L$6)+(AC73:AL73=정답표!$C$7:$L$7))&gt;0))</f>
        <v>100</v>
      </c>
      <c r="AN73" s="10" t="s">
        <v>243</v>
      </c>
      <c r="AO73" s="10" t="s">
        <v>244</v>
      </c>
      <c r="AP73" s="10" t="s">
        <v>245</v>
      </c>
      <c r="AQ73" s="10" t="s">
        <v>246</v>
      </c>
      <c r="AR73" s="10" t="s">
        <v>247</v>
      </c>
      <c r="AS73" s="10" t="s">
        <v>248</v>
      </c>
      <c r="AT73" s="10" t="s">
        <v>249</v>
      </c>
      <c r="AU73" s="10" t="s">
        <v>250</v>
      </c>
      <c r="AV73" s="10" t="s">
        <v>86</v>
      </c>
      <c r="AW73" s="10" t="s">
        <v>86</v>
      </c>
      <c r="AX73" s="11">
        <f>10*SUMPRODUCT(--(AN73:AW73&lt;&gt;""),--(((AN73:AW73=정답표!$C$8:$L$8)+(AN73:AW73=정답표!$C$9:$L$9))&gt;0))</f>
        <v>100</v>
      </c>
      <c r="AY73" s="10" t="s">
        <v>95</v>
      </c>
      <c r="AZ73" s="10" t="s">
        <v>96</v>
      </c>
      <c r="BA73" s="10" t="s">
        <v>97</v>
      </c>
      <c r="BB73" s="10" t="s">
        <v>98</v>
      </c>
      <c r="BC73" s="10" t="s">
        <v>99</v>
      </c>
      <c r="BD73" s="10" t="s">
        <v>100</v>
      </c>
      <c r="BE73" s="10" t="s">
        <v>101</v>
      </c>
      <c r="BF73" s="10" t="s">
        <v>86</v>
      </c>
      <c r="BG73" s="10" t="s">
        <v>86</v>
      </c>
      <c r="BH73" s="10" t="s">
        <v>102</v>
      </c>
      <c r="BI73" s="11">
        <f>10*SUMPRODUCT(--(AY73:BH73&lt;&gt;""),--(((AY73:BH73=정답표!$C$10:$L$10)+(AY73:BH73=정답표!$C$11:$L$11))&gt;0))</f>
        <v>100</v>
      </c>
      <c r="BJ73" s="11">
        <f t="shared" si="10"/>
        <v>500</v>
      </c>
      <c r="BK73" s="12">
        <f t="shared" si="11"/>
        <v>5</v>
      </c>
      <c r="BL73" s="28">
        <f>IF(QuizMatchTable[[#This Row],[분반]]=1, QuizMatchTable[[#This Row],[퀴즈합계]]/4 *0.3, QuizMatchTable[[#This Row],[퀴즈합계]]/5*0.3)</f>
        <v>30</v>
      </c>
      <c r="BM73" s="28">
        <v>28.67</v>
      </c>
      <c r="BN73" s="28">
        <v>19.2</v>
      </c>
      <c r="BO73" s="13"/>
      <c r="BP73" s="28">
        <f>SUM(QuizMatchTable[[#This Row],[퀴즈점수(30)]],BM73,BN73,BO73)</f>
        <v>77.87</v>
      </c>
      <c r="BQ73" s="13">
        <f t="shared" si="12"/>
        <v>3</v>
      </c>
      <c r="BR73" s="33" t="s">
        <v>653</v>
      </c>
      <c r="BS73" s="13">
        <v>2</v>
      </c>
      <c r="BT73" s="13"/>
    </row>
    <row r="74" spans="1:72" x14ac:dyDescent="0.3">
      <c r="A74" s="30" t="s">
        <v>64</v>
      </c>
      <c r="B74" s="8">
        <v>3</v>
      </c>
      <c r="C74" s="8">
        <v>20220164</v>
      </c>
      <c r="D74" s="9" t="s">
        <v>445</v>
      </c>
      <c r="E74" s="8" t="s">
        <v>446</v>
      </c>
      <c r="F74" s="9" t="s">
        <v>447</v>
      </c>
      <c r="G74" s="10" t="s">
        <v>68</v>
      </c>
      <c r="H74" s="10" t="s">
        <v>69</v>
      </c>
      <c r="I74" s="10" t="s">
        <v>70</v>
      </c>
      <c r="J74" s="10" t="s">
        <v>71</v>
      </c>
      <c r="K74" s="10" t="s">
        <v>72</v>
      </c>
      <c r="L74" s="10" t="s">
        <v>73</v>
      </c>
      <c r="M74" s="10" t="s">
        <v>74</v>
      </c>
      <c r="N74" s="10" t="s">
        <v>75</v>
      </c>
      <c r="O74" s="10" t="s">
        <v>76</v>
      </c>
      <c r="P74" s="10" t="s">
        <v>77</v>
      </c>
      <c r="Q74" s="11">
        <f>10*SUMPRODUCT(--(G74:P74&lt;&gt;""),--(((G74:P74=정답표!$C$2:$L$2)+(G74:P74=정답표!$C$3:$L$3))&gt;0))</f>
        <v>100</v>
      </c>
      <c r="R74" s="10" t="s">
        <v>78</v>
      </c>
      <c r="S74" s="10" t="s">
        <v>79</v>
      </c>
      <c r="T74" s="10" t="s">
        <v>380</v>
      </c>
      <c r="U74" s="10" t="s">
        <v>81</v>
      </c>
      <c r="V74" s="10" t="s">
        <v>82</v>
      </c>
      <c r="W74" s="10" t="s">
        <v>83</v>
      </c>
      <c r="X74" s="10" t="s">
        <v>84</v>
      </c>
      <c r="Y74" s="10" t="s">
        <v>85</v>
      </c>
      <c r="Z74" s="10" t="s">
        <v>86</v>
      </c>
      <c r="AA74" s="10" t="s">
        <v>86</v>
      </c>
      <c r="AB74" s="11">
        <f>10*SUMPRODUCT(--(R74:AA74&lt;&gt;""),--(((R74:AA74=정답표!$C$4:$L$4)+(R74:AA74=정답표!$C$5:$L$5))&gt;0))</f>
        <v>90</v>
      </c>
      <c r="AC74" s="10" t="s">
        <v>383</v>
      </c>
      <c r="AD74" s="10" t="s">
        <v>345</v>
      </c>
      <c r="AE74" s="10" t="s">
        <v>327</v>
      </c>
      <c r="AF74" s="10" t="s">
        <v>90</v>
      </c>
      <c r="AG74" s="10" t="s">
        <v>448</v>
      </c>
      <c r="AH74" s="10" t="s">
        <v>92</v>
      </c>
      <c r="AI74" s="10" t="s">
        <v>449</v>
      </c>
      <c r="AJ74" s="10" t="s">
        <v>450</v>
      </c>
      <c r="AK74" s="10" t="s">
        <v>86</v>
      </c>
      <c r="AL74" s="10" t="s">
        <v>86</v>
      </c>
      <c r="AM74" s="11">
        <f>10*SUMPRODUCT(--(AC74:AL74&lt;&gt;""),--(((AC74:AL74=정답표!$C$6:$L$6)+(AC74:AL74=정답표!$C$7:$L$7))&gt;0))</f>
        <v>40</v>
      </c>
      <c r="AN74" s="10" t="s">
        <v>243</v>
      </c>
      <c r="AO74" s="10" t="s">
        <v>244</v>
      </c>
      <c r="AP74" s="10" t="s">
        <v>364</v>
      </c>
      <c r="AQ74" s="10" t="s">
        <v>387</v>
      </c>
      <c r="AR74" s="10" t="s">
        <v>247</v>
      </c>
      <c r="AS74" s="10" t="s">
        <v>248</v>
      </c>
      <c r="AT74" s="10" t="s">
        <v>249</v>
      </c>
      <c r="AU74" s="10" t="s">
        <v>250</v>
      </c>
      <c r="AV74" s="10" t="s">
        <v>102</v>
      </c>
      <c r="AW74" s="10" t="s">
        <v>102</v>
      </c>
      <c r="AX74" s="11">
        <f>10*SUMPRODUCT(--(AN74:AW74&lt;&gt;""),--(((AN74:AW74=정답표!$C$8:$L$8)+(AN74:AW74=정답표!$C$9:$L$9))&gt;0))</f>
        <v>60</v>
      </c>
      <c r="AY74" s="10" t="s">
        <v>95</v>
      </c>
      <c r="AZ74" s="10" t="s">
        <v>96</v>
      </c>
      <c r="BA74" s="10" t="s">
        <v>97</v>
      </c>
      <c r="BB74" s="10" t="s">
        <v>98</v>
      </c>
      <c r="BC74" s="10" t="s">
        <v>99</v>
      </c>
      <c r="BD74" s="10" t="s">
        <v>100</v>
      </c>
      <c r="BE74" s="10" t="s">
        <v>101</v>
      </c>
      <c r="BF74" s="10" t="s">
        <v>86</v>
      </c>
      <c r="BG74" s="10" t="s">
        <v>86</v>
      </c>
      <c r="BH74" s="10" t="s">
        <v>102</v>
      </c>
      <c r="BI74" s="11">
        <f>10*SUMPRODUCT(--(AY74:BH74&lt;&gt;""),--(((AY74:BH74=정답표!$C$10:$L$10)+(AY74:BH74=정답표!$C$11:$L$11))&gt;0))</f>
        <v>100</v>
      </c>
      <c r="BJ74" s="11">
        <f t="shared" si="10"/>
        <v>390</v>
      </c>
      <c r="BK74" s="12">
        <f t="shared" si="11"/>
        <v>5</v>
      </c>
      <c r="BL74" s="28">
        <f>IF(QuizMatchTable[[#This Row],[분반]]=1, QuizMatchTable[[#This Row],[퀴즈합계]]/4 *0.3, QuizMatchTable[[#This Row],[퀴즈합계]]/5*0.3)</f>
        <v>23.4</v>
      </c>
      <c r="BM74" s="28">
        <v>28</v>
      </c>
      <c r="BN74" s="28">
        <v>19.2</v>
      </c>
      <c r="BO74" s="13"/>
      <c r="BP74" s="28">
        <f>SUM(QuizMatchTable[[#This Row],[퀴즈점수(30)]],BM74,BN74,BO74)</f>
        <v>70.599999999999994</v>
      </c>
      <c r="BQ74" s="13">
        <f t="shared" si="12"/>
        <v>14</v>
      </c>
      <c r="BR74" s="33" t="s">
        <v>655</v>
      </c>
      <c r="BS74" s="13">
        <v>3</v>
      </c>
      <c r="BT74" s="13"/>
    </row>
    <row r="75" spans="1:72" x14ac:dyDescent="0.3">
      <c r="A75" s="30" t="s">
        <v>64</v>
      </c>
      <c r="B75" s="8">
        <v>3</v>
      </c>
      <c r="C75" s="8">
        <v>20220165</v>
      </c>
      <c r="D75" s="9" t="s">
        <v>429</v>
      </c>
      <c r="E75" s="8" t="s">
        <v>430</v>
      </c>
      <c r="F75" s="9" t="s">
        <v>431</v>
      </c>
      <c r="G75" s="10" t="s">
        <v>68</v>
      </c>
      <c r="H75" s="10" t="s">
        <v>69</v>
      </c>
      <c r="I75" s="10" t="s">
        <v>70</v>
      </c>
      <c r="J75" s="10" t="s">
        <v>71</v>
      </c>
      <c r="K75" s="10" t="s">
        <v>72</v>
      </c>
      <c r="L75" s="10" t="s">
        <v>73</v>
      </c>
      <c r="M75" s="10" t="s">
        <v>432</v>
      </c>
      <c r="N75" s="10" t="s">
        <v>75</v>
      </c>
      <c r="O75" s="10" t="s">
        <v>76</v>
      </c>
      <c r="P75" s="10" t="s">
        <v>77</v>
      </c>
      <c r="Q75" s="11">
        <f>10*SUMPRODUCT(--(G75:P75&lt;&gt;""),--(((G75:P75=정답표!$C$2:$L$2)+(G75:P75=정답표!$C$3:$L$3))&gt;0))</f>
        <v>90</v>
      </c>
      <c r="R75" s="10" t="s">
        <v>78</v>
      </c>
      <c r="S75" s="10" t="s">
        <v>79</v>
      </c>
      <c r="T75" s="10" t="s">
        <v>80</v>
      </c>
      <c r="U75" s="10" t="s">
        <v>81</v>
      </c>
      <c r="V75" s="10" t="s">
        <v>82</v>
      </c>
      <c r="W75" s="10" t="s">
        <v>83</v>
      </c>
      <c r="X75" s="10" t="s">
        <v>84</v>
      </c>
      <c r="Y75" s="10" t="s">
        <v>85</v>
      </c>
      <c r="Z75" s="10" t="s">
        <v>86</v>
      </c>
      <c r="AA75" s="10" t="s">
        <v>102</v>
      </c>
      <c r="AB75" s="11">
        <f>10*SUMPRODUCT(--(R75:AA75&lt;&gt;""),--(((R75:AA75=정답표!$C$4:$L$4)+(R75:AA75=정답표!$C$5:$L$5))&gt;0))</f>
        <v>90</v>
      </c>
      <c r="AC75" s="10" t="s">
        <v>87</v>
      </c>
      <c r="AD75" s="10" t="s">
        <v>88</v>
      </c>
      <c r="AE75" s="10" t="s">
        <v>89</v>
      </c>
      <c r="AF75" s="10" t="s">
        <v>433</v>
      </c>
      <c r="AG75" s="10" t="s">
        <v>161</v>
      </c>
      <c r="AH75" s="10" t="s">
        <v>92</v>
      </c>
      <c r="AI75" s="10" t="s">
        <v>434</v>
      </c>
      <c r="AJ75" s="10" t="s">
        <v>313</v>
      </c>
      <c r="AK75" s="10" t="s">
        <v>86</v>
      </c>
      <c r="AL75" s="10" t="s">
        <v>86</v>
      </c>
      <c r="AM75" s="11">
        <f>10*SUMPRODUCT(--(AC75:AL75&lt;&gt;""),--(((AC75:AL75=정답표!$C$6:$L$6)+(AC75:AL75=정답표!$C$7:$L$7))&gt;0))</f>
        <v>60</v>
      </c>
      <c r="AN75" s="10" t="s">
        <v>243</v>
      </c>
      <c r="AO75" s="10" t="s">
        <v>244</v>
      </c>
      <c r="AP75" s="10" t="s">
        <v>364</v>
      </c>
      <c r="AQ75" s="10" t="s">
        <v>246</v>
      </c>
      <c r="AR75" s="10" t="s">
        <v>247</v>
      </c>
      <c r="AS75" s="10" t="s">
        <v>248</v>
      </c>
      <c r="AT75" s="10" t="s">
        <v>249</v>
      </c>
      <c r="AU75" s="10" t="s">
        <v>250</v>
      </c>
      <c r="AV75" s="10" t="s">
        <v>86</v>
      </c>
      <c r="AW75" s="10" t="s">
        <v>86</v>
      </c>
      <c r="AX75" s="11">
        <f>10*SUMPRODUCT(--(AN75:AW75&lt;&gt;""),--(((AN75:AW75=정답표!$C$8:$L$8)+(AN75:AW75=정답표!$C$9:$L$9))&gt;0))</f>
        <v>90</v>
      </c>
      <c r="AY75" s="10" t="s">
        <v>95</v>
      </c>
      <c r="AZ75" s="10" t="s">
        <v>96</v>
      </c>
      <c r="BA75" s="10" t="s">
        <v>97</v>
      </c>
      <c r="BB75" s="10" t="s">
        <v>389</v>
      </c>
      <c r="BC75" s="10" t="s">
        <v>435</v>
      </c>
      <c r="BD75" s="10" t="s">
        <v>100</v>
      </c>
      <c r="BE75" s="10" t="s">
        <v>101</v>
      </c>
      <c r="BF75" s="10" t="s">
        <v>86</v>
      </c>
      <c r="BG75" s="10" t="s">
        <v>86</v>
      </c>
      <c r="BH75" s="10" t="s">
        <v>102</v>
      </c>
      <c r="BI75" s="11">
        <f>10*SUMPRODUCT(--(AY75:BH75&lt;&gt;""),--(((AY75:BH75=정답표!$C$10:$L$10)+(AY75:BH75=정답표!$C$11:$L$11))&gt;0))</f>
        <v>80</v>
      </c>
      <c r="BJ75" s="11">
        <f t="shared" si="10"/>
        <v>410</v>
      </c>
      <c r="BK75" s="12">
        <f t="shared" si="11"/>
        <v>5</v>
      </c>
      <c r="BL75" s="28">
        <f>IF(QuizMatchTable[[#This Row],[분반]]=1, QuizMatchTable[[#This Row],[퀴즈합계]]/4 *0.3, QuizMatchTable[[#This Row],[퀴즈합계]]/5*0.3)</f>
        <v>24.599999999999998</v>
      </c>
      <c r="BM75" s="28">
        <v>26</v>
      </c>
      <c r="BN75" s="28">
        <v>3.2</v>
      </c>
      <c r="BO75" s="13"/>
      <c r="BP75" s="28">
        <f>SUM(QuizMatchTable[[#This Row],[퀴즈점수(30)]],BM75,BN75,BO75)</f>
        <v>53.8</v>
      </c>
      <c r="BQ75" s="13">
        <f t="shared" si="12"/>
        <v>28</v>
      </c>
      <c r="BR75" s="33" t="s">
        <v>657</v>
      </c>
      <c r="BS75" s="13">
        <v>6</v>
      </c>
      <c r="BT75" s="13"/>
    </row>
    <row r="76" spans="1:72" x14ac:dyDescent="0.3">
      <c r="A76" s="30" t="s">
        <v>64</v>
      </c>
      <c r="B76" s="8">
        <v>3</v>
      </c>
      <c r="C76" s="8">
        <v>20220166</v>
      </c>
      <c r="D76" s="9" t="s">
        <v>419</v>
      </c>
      <c r="E76" s="8" t="s">
        <v>420</v>
      </c>
      <c r="F76" s="9" t="s">
        <v>421</v>
      </c>
      <c r="G76" s="10" t="s">
        <v>68</v>
      </c>
      <c r="H76" s="10" t="s">
        <v>69</v>
      </c>
      <c r="I76" s="10" t="s">
        <v>70</v>
      </c>
      <c r="J76" s="10" t="s">
        <v>71</v>
      </c>
      <c r="K76" s="10" t="s">
        <v>72</v>
      </c>
      <c r="L76" s="10" t="s">
        <v>73</v>
      </c>
      <c r="M76" s="10" t="s">
        <v>422</v>
      </c>
      <c r="N76" s="10" t="s">
        <v>288</v>
      </c>
      <c r="O76" s="10" t="s">
        <v>76</v>
      </c>
      <c r="P76" s="10" t="s">
        <v>77</v>
      </c>
      <c r="Q76" s="11">
        <f>10*SUMPRODUCT(--(G76:P76&lt;&gt;""),--(((G76:P76=정답표!$C$2:$L$2)+(G76:P76=정답표!$C$3:$L$3))&gt;0))</f>
        <v>80</v>
      </c>
      <c r="R76" s="10" t="s">
        <v>78</v>
      </c>
      <c r="S76" s="10" t="s">
        <v>79</v>
      </c>
      <c r="T76" s="10" t="s">
        <v>80</v>
      </c>
      <c r="U76" s="10" t="s">
        <v>81</v>
      </c>
      <c r="V76" s="10" t="s">
        <v>82</v>
      </c>
      <c r="W76" s="10" t="s">
        <v>83</v>
      </c>
      <c r="X76" s="10" t="s">
        <v>84</v>
      </c>
      <c r="Y76" s="10" t="s">
        <v>85</v>
      </c>
      <c r="Z76" s="10" t="s">
        <v>86</v>
      </c>
      <c r="AA76" s="10" t="s">
        <v>86</v>
      </c>
      <c r="AB76" s="11">
        <f>10*SUMPRODUCT(--(R76:AA76&lt;&gt;""),--(((R76:AA76=정답표!$C$4:$L$4)+(R76:AA76=정답표!$C$5:$L$5))&gt;0))</f>
        <v>100</v>
      </c>
      <c r="AC76" s="10" t="s">
        <v>87</v>
      </c>
      <c r="AD76" s="10" t="s">
        <v>88</v>
      </c>
      <c r="AE76" s="10" t="s">
        <v>89</v>
      </c>
      <c r="AF76" s="10" t="s">
        <v>90</v>
      </c>
      <c r="AG76" s="10" t="s">
        <v>91</v>
      </c>
      <c r="AH76" s="10" t="s">
        <v>92</v>
      </c>
      <c r="AI76" s="10" t="s">
        <v>93</v>
      </c>
      <c r="AJ76" s="10" t="s">
        <v>94</v>
      </c>
      <c r="AK76" s="10" t="s">
        <v>86</v>
      </c>
      <c r="AL76" s="10" t="s">
        <v>86</v>
      </c>
      <c r="AM76" s="11">
        <f>10*SUMPRODUCT(--(AC76:AL76&lt;&gt;""),--(((AC76:AL76=정답표!$C$6:$L$6)+(AC76:AL76=정답표!$C$7:$L$7))&gt;0))</f>
        <v>100</v>
      </c>
      <c r="AN76" s="10" t="s">
        <v>243</v>
      </c>
      <c r="AO76" s="10" t="s">
        <v>244</v>
      </c>
      <c r="AP76" s="10" t="s">
        <v>245</v>
      </c>
      <c r="AQ76" s="10" t="s">
        <v>246</v>
      </c>
      <c r="AR76" s="10"/>
      <c r="AS76" s="10" t="s">
        <v>248</v>
      </c>
      <c r="AT76" s="10" t="s">
        <v>249</v>
      </c>
      <c r="AU76" s="10" t="s">
        <v>250</v>
      </c>
      <c r="AV76" s="10" t="s">
        <v>86</v>
      </c>
      <c r="AW76" s="10" t="s">
        <v>86</v>
      </c>
      <c r="AX76" s="11">
        <f>10*SUMPRODUCT(--(AN76:AW76&lt;&gt;""),--(((AN76:AW76=정답표!$C$8:$L$8)+(AN76:AW76=정답표!$C$9:$L$9))&gt;0))</f>
        <v>90</v>
      </c>
      <c r="AY76" s="10" t="s">
        <v>95</v>
      </c>
      <c r="AZ76" s="10" t="s">
        <v>96</v>
      </c>
      <c r="BA76" s="10" t="s">
        <v>97</v>
      </c>
      <c r="BB76" s="10" t="s">
        <v>98</v>
      </c>
      <c r="BC76" s="10" t="s">
        <v>99</v>
      </c>
      <c r="BD76" s="10" t="s">
        <v>100</v>
      </c>
      <c r="BE76" s="10" t="s">
        <v>101</v>
      </c>
      <c r="BF76" s="10" t="s">
        <v>86</v>
      </c>
      <c r="BG76" s="10" t="s">
        <v>86</v>
      </c>
      <c r="BH76" s="10" t="s">
        <v>102</v>
      </c>
      <c r="BI76" s="11">
        <f>10*SUMPRODUCT(--(AY76:BH76&lt;&gt;""),--(((AY76:BH76=정답표!$C$10:$L$10)+(AY76:BH76=정답표!$C$11:$L$11))&gt;0))</f>
        <v>100</v>
      </c>
      <c r="BJ76" s="11">
        <f t="shared" si="10"/>
        <v>470</v>
      </c>
      <c r="BK76" s="12">
        <f t="shared" si="11"/>
        <v>5</v>
      </c>
      <c r="BL76" s="28">
        <f>IF(QuizMatchTable[[#This Row],[분반]]=1, QuizMatchTable[[#This Row],[퀴즈합계]]/4 *0.3, QuizMatchTable[[#This Row],[퀴즈합계]]/5*0.3)</f>
        <v>28.2</v>
      </c>
      <c r="BM76" s="28">
        <v>30</v>
      </c>
      <c r="BN76" s="28">
        <v>19.2</v>
      </c>
      <c r="BO76" s="13"/>
      <c r="BP76" s="28">
        <f>SUM(QuizMatchTable[[#This Row],[퀴즈점수(30)]],BM76,BN76,BO76)</f>
        <v>77.400000000000006</v>
      </c>
      <c r="BQ76" s="13">
        <f t="shared" si="12"/>
        <v>6</v>
      </c>
      <c r="BR76" s="33" t="s">
        <v>654</v>
      </c>
      <c r="BS76" s="13">
        <v>0</v>
      </c>
      <c r="BT76" s="13"/>
    </row>
    <row r="77" spans="1:72" x14ac:dyDescent="0.3">
      <c r="A77" s="30" t="s">
        <v>64</v>
      </c>
      <c r="B77" s="8">
        <v>3</v>
      </c>
      <c r="C77" s="8">
        <v>20220167</v>
      </c>
      <c r="D77" s="9" t="s">
        <v>454</v>
      </c>
      <c r="E77" s="8" t="s">
        <v>455</v>
      </c>
      <c r="F77" s="9" t="s">
        <v>456</v>
      </c>
      <c r="G77" s="10" t="s">
        <v>68</v>
      </c>
      <c r="H77" s="10" t="s">
        <v>69</v>
      </c>
      <c r="I77" s="10" t="s">
        <v>70</v>
      </c>
      <c r="J77" s="10" t="s">
        <v>71</v>
      </c>
      <c r="K77" s="10" t="s">
        <v>72</v>
      </c>
      <c r="L77" s="10" t="s">
        <v>73</v>
      </c>
      <c r="M77" s="10" t="s">
        <v>74</v>
      </c>
      <c r="N77" s="10" t="s">
        <v>75</v>
      </c>
      <c r="O77" s="10" t="s">
        <v>76</v>
      </c>
      <c r="P77" s="10" t="s">
        <v>77</v>
      </c>
      <c r="Q77" s="11">
        <f>10*SUMPRODUCT(--(G77:P77&lt;&gt;""),--(((G77:P77=정답표!$C$2:$L$2)+(G77:P77=정답표!$C$3:$L$3))&gt;0))</f>
        <v>100</v>
      </c>
      <c r="R77" s="10" t="s">
        <v>78</v>
      </c>
      <c r="S77" s="10" t="s">
        <v>79</v>
      </c>
      <c r="T77" s="10" t="s">
        <v>80</v>
      </c>
      <c r="U77" s="10" t="s">
        <v>81</v>
      </c>
      <c r="V77" s="10" t="s">
        <v>82</v>
      </c>
      <c r="W77" s="10" t="s">
        <v>83</v>
      </c>
      <c r="X77" s="10" t="s">
        <v>84</v>
      </c>
      <c r="Y77" s="10" t="s">
        <v>85</v>
      </c>
      <c r="Z77" s="10" t="s">
        <v>86</v>
      </c>
      <c r="AA77" s="10" t="s">
        <v>86</v>
      </c>
      <c r="AB77" s="11">
        <f>10*SUMPRODUCT(--(R77:AA77&lt;&gt;""),--(((R77:AA77=정답표!$C$4:$L$4)+(R77:AA77=정답표!$C$5:$L$5))&gt;0))</f>
        <v>100</v>
      </c>
      <c r="AC77" s="10" t="s">
        <v>284</v>
      </c>
      <c r="AD77" s="10" t="s">
        <v>88</v>
      </c>
      <c r="AE77" s="10" t="s">
        <v>89</v>
      </c>
      <c r="AF77" s="10" t="s">
        <v>90</v>
      </c>
      <c r="AG77" s="10" t="s">
        <v>91</v>
      </c>
      <c r="AH77" s="10" t="s">
        <v>92</v>
      </c>
      <c r="AI77" s="10" t="s">
        <v>93</v>
      </c>
      <c r="AJ77" s="10" t="s">
        <v>94</v>
      </c>
      <c r="AK77" s="10" t="s">
        <v>86</v>
      </c>
      <c r="AL77" s="10" t="s">
        <v>86</v>
      </c>
      <c r="AM77" s="11">
        <f>10*SUMPRODUCT(--(AC77:AL77&lt;&gt;""),--(((AC77:AL77=정답표!$C$6:$L$6)+(AC77:AL77=정답표!$C$7:$L$7))&gt;0))</f>
        <v>90</v>
      </c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1"/>
      <c r="AY77" s="10" t="s">
        <v>95</v>
      </c>
      <c r="AZ77" s="10" t="s">
        <v>96</v>
      </c>
      <c r="BA77" s="10" t="s">
        <v>97</v>
      </c>
      <c r="BB77" s="10" t="s">
        <v>98</v>
      </c>
      <c r="BC77" s="10" t="s">
        <v>99</v>
      </c>
      <c r="BD77" s="10" t="s">
        <v>100</v>
      </c>
      <c r="BE77" s="10" t="s">
        <v>101</v>
      </c>
      <c r="BF77" s="10" t="s">
        <v>86</v>
      </c>
      <c r="BG77" s="10" t="s">
        <v>86</v>
      </c>
      <c r="BH77" s="10" t="s">
        <v>102</v>
      </c>
      <c r="BI77" s="11">
        <f>10*SUMPRODUCT(--(AY77:BH77&lt;&gt;""),--(((AY77:BH77=정답표!$C$10:$L$10)+(AY77:BH77=정답표!$C$11:$L$11))&gt;0))</f>
        <v>100</v>
      </c>
      <c r="BJ77" s="11">
        <f t="shared" si="10"/>
        <v>390</v>
      </c>
      <c r="BK77" s="12">
        <f t="shared" si="11"/>
        <v>4</v>
      </c>
      <c r="BL77" s="28">
        <f>IF(QuizMatchTable[[#This Row],[분반]]=1, QuizMatchTable[[#This Row],[퀴즈합계]]/4 *0.3, QuizMatchTable[[#This Row],[퀴즈합계]]/5*0.3)</f>
        <v>23.4</v>
      </c>
      <c r="BM77" s="28">
        <v>28</v>
      </c>
      <c r="BN77" s="28">
        <v>18</v>
      </c>
      <c r="BO77" s="13"/>
      <c r="BP77" s="28">
        <f>SUM(QuizMatchTable[[#This Row],[퀴즈점수(30)]],BM77,BN77,BO77)</f>
        <v>69.400000000000006</v>
      </c>
      <c r="BQ77" s="13">
        <f t="shared" si="12"/>
        <v>15</v>
      </c>
      <c r="BR77" s="33" t="s">
        <v>655</v>
      </c>
      <c r="BS77" s="13">
        <v>3</v>
      </c>
      <c r="BT77" s="13"/>
    </row>
    <row r="78" spans="1:72" x14ac:dyDescent="0.3">
      <c r="A78" s="30" t="s">
        <v>64</v>
      </c>
      <c r="B78" s="8">
        <v>3</v>
      </c>
      <c r="C78" s="8">
        <v>20220168</v>
      </c>
      <c r="D78" s="9" t="s">
        <v>414</v>
      </c>
      <c r="E78" s="8" t="s">
        <v>415</v>
      </c>
      <c r="F78" s="9" t="s">
        <v>416</v>
      </c>
      <c r="G78" s="10" t="s">
        <v>68</v>
      </c>
      <c r="H78" s="10" t="s">
        <v>417</v>
      </c>
      <c r="I78" s="10" t="s">
        <v>70</v>
      </c>
      <c r="J78" s="10" t="s">
        <v>71</v>
      </c>
      <c r="K78" s="10" t="s">
        <v>72</v>
      </c>
      <c r="L78" s="10" t="s">
        <v>73</v>
      </c>
      <c r="M78" s="10" t="s">
        <v>74</v>
      </c>
      <c r="N78" s="10" t="s">
        <v>212</v>
      </c>
      <c r="O78" s="10" t="s">
        <v>76</v>
      </c>
      <c r="P78" s="10" t="s">
        <v>77</v>
      </c>
      <c r="Q78" s="11">
        <f>10*SUMPRODUCT(--(G78:P78&lt;&gt;""),--(((G78:P78=정답표!$C$2:$L$2)+(G78:P78=정답표!$C$3:$L$3))&gt;0))</f>
        <v>80</v>
      </c>
      <c r="R78" s="10" t="s">
        <v>78</v>
      </c>
      <c r="S78" s="10" t="s">
        <v>79</v>
      </c>
      <c r="T78" s="10" t="s">
        <v>80</v>
      </c>
      <c r="U78" s="10" t="s">
        <v>81</v>
      </c>
      <c r="V78" s="10" t="s">
        <v>82</v>
      </c>
      <c r="W78" s="10" t="s">
        <v>83</v>
      </c>
      <c r="X78" s="10" t="s">
        <v>84</v>
      </c>
      <c r="Y78" s="10" t="s">
        <v>85</v>
      </c>
      <c r="Z78" s="10" t="s">
        <v>86</v>
      </c>
      <c r="AA78" s="10" t="s">
        <v>86</v>
      </c>
      <c r="AB78" s="11">
        <f>10*SUMPRODUCT(--(R78:AA78&lt;&gt;""),--(((R78:AA78=정답표!$C$4:$L$4)+(R78:AA78=정답표!$C$5:$L$5))&gt;0))</f>
        <v>100</v>
      </c>
      <c r="AC78" s="10" t="s">
        <v>87</v>
      </c>
      <c r="AD78" s="10" t="s">
        <v>88</v>
      </c>
      <c r="AE78" s="10" t="s">
        <v>89</v>
      </c>
      <c r="AF78" s="10" t="s">
        <v>90</v>
      </c>
      <c r="AG78" s="10" t="s">
        <v>91</v>
      </c>
      <c r="AH78" s="10" t="s">
        <v>92</v>
      </c>
      <c r="AI78" s="10" t="s">
        <v>418</v>
      </c>
      <c r="AJ78" s="10" t="s">
        <v>94</v>
      </c>
      <c r="AK78" s="10" t="s">
        <v>86</v>
      </c>
      <c r="AL78" s="10" t="s">
        <v>86</v>
      </c>
      <c r="AM78" s="11">
        <f>10*SUMPRODUCT(--(AC78:AL78&lt;&gt;""),--(((AC78:AL78=정답표!$C$6:$L$6)+(AC78:AL78=정답표!$C$7:$L$7))&gt;0))</f>
        <v>90</v>
      </c>
      <c r="AN78" s="10" t="s">
        <v>243</v>
      </c>
      <c r="AO78" s="10" t="s">
        <v>244</v>
      </c>
      <c r="AP78" s="10" t="s">
        <v>245</v>
      </c>
      <c r="AQ78" s="10" t="s">
        <v>246</v>
      </c>
      <c r="AR78" s="10" t="s">
        <v>247</v>
      </c>
      <c r="AS78" s="10" t="s">
        <v>248</v>
      </c>
      <c r="AT78" s="10" t="s">
        <v>249</v>
      </c>
      <c r="AU78" s="10" t="s">
        <v>250</v>
      </c>
      <c r="AV78" s="10" t="s">
        <v>86</v>
      </c>
      <c r="AW78" s="10" t="s">
        <v>86</v>
      </c>
      <c r="AX78" s="11">
        <f>10*SUMPRODUCT(--(AN78:AW78&lt;&gt;""),--(((AN78:AW78=정답표!$C$8:$L$8)+(AN78:AW78=정답표!$C$9:$L$9))&gt;0))</f>
        <v>100</v>
      </c>
      <c r="AY78" s="10" t="s">
        <v>95</v>
      </c>
      <c r="AZ78" s="10" t="s">
        <v>96</v>
      </c>
      <c r="BA78" s="10" t="s">
        <v>97</v>
      </c>
      <c r="BB78" s="10" t="s">
        <v>98</v>
      </c>
      <c r="BC78" s="10" t="s">
        <v>99</v>
      </c>
      <c r="BD78" s="10" t="s">
        <v>100</v>
      </c>
      <c r="BE78" s="10" t="s">
        <v>101</v>
      </c>
      <c r="BF78" s="10" t="s">
        <v>86</v>
      </c>
      <c r="BG78" s="10" t="s">
        <v>86</v>
      </c>
      <c r="BH78" s="10" t="s">
        <v>102</v>
      </c>
      <c r="BI78" s="11">
        <f>10*SUMPRODUCT(--(AY78:BH78&lt;&gt;""),--(((AY78:BH78=정답표!$C$10:$L$10)+(AY78:BH78=정답표!$C$11:$L$11))&gt;0))</f>
        <v>100</v>
      </c>
      <c r="BJ78" s="11">
        <f t="shared" si="10"/>
        <v>470</v>
      </c>
      <c r="BK78" s="12">
        <f t="shared" si="11"/>
        <v>5</v>
      </c>
      <c r="BL78" s="28">
        <f>IF(QuizMatchTable[[#This Row],[분반]]=1, QuizMatchTable[[#This Row],[퀴즈합계]]/4 *0.3, QuizMatchTable[[#This Row],[퀴즈합계]]/5*0.3)</f>
        <v>28.2</v>
      </c>
      <c r="BM78" s="28">
        <v>26.67</v>
      </c>
      <c r="BN78" s="28">
        <v>18</v>
      </c>
      <c r="BO78" s="13"/>
      <c r="BP78" s="28">
        <f>SUM(QuizMatchTable[[#This Row],[퀴즈점수(30)]],BM78,BN78,BO78)</f>
        <v>72.87</v>
      </c>
      <c r="BQ78" s="13">
        <f t="shared" si="12"/>
        <v>12</v>
      </c>
      <c r="BR78" s="33" t="s">
        <v>655</v>
      </c>
      <c r="BS78" s="13">
        <v>5</v>
      </c>
      <c r="BT78" s="13"/>
    </row>
    <row r="79" spans="1:72" x14ac:dyDescent="0.3">
      <c r="A79" s="30" t="s">
        <v>64</v>
      </c>
      <c r="B79" s="8">
        <v>3</v>
      </c>
      <c r="C79" s="8">
        <v>20220171</v>
      </c>
      <c r="D79" s="9" t="s">
        <v>483</v>
      </c>
      <c r="E79" s="8" t="s">
        <v>484</v>
      </c>
      <c r="F79" s="9" t="s">
        <v>485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1"/>
      <c r="R79" s="10" t="s">
        <v>78</v>
      </c>
      <c r="S79" s="10" t="s">
        <v>79</v>
      </c>
      <c r="T79" s="10" t="s">
        <v>80</v>
      </c>
      <c r="U79" s="10" t="s">
        <v>81</v>
      </c>
      <c r="V79" s="10" t="s">
        <v>82</v>
      </c>
      <c r="W79" s="10" t="s">
        <v>83</v>
      </c>
      <c r="X79" s="10" t="s">
        <v>84</v>
      </c>
      <c r="Y79" s="10" t="s">
        <v>85</v>
      </c>
      <c r="Z79" s="10" t="s">
        <v>86</v>
      </c>
      <c r="AA79" s="10" t="s">
        <v>102</v>
      </c>
      <c r="AB79" s="11">
        <f>10*SUMPRODUCT(--(R79:AA79&lt;&gt;""),--(((R79:AA79=정답표!$C$4:$L$4)+(R79:AA79=정답표!$C$5:$L$5))&gt;0))</f>
        <v>90</v>
      </c>
      <c r="AC79" s="10" t="s">
        <v>284</v>
      </c>
      <c r="AD79" s="10" t="s">
        <v>88</v>
      </c>
      <c r="AE79" s="10" t="s">
        <v>89</v>
      </c>
      <c r="AF79" s="10" t="s">
        <v>90</v>
      </c>
      <c r="AG79" s="10" t="s">
        <v>91</v>
      </c>
      <c r="AH79" s="10" t="s">
        <v>92</v>
      </c>
      <c r="AI79" s="10" t="s">
        <v>434</v>
      </c>
      <c r="AJ79" s="10" t="s">
        <v>94</v>
      </c>
      <c r="AK79" s="10" t="s">
        <v>86</v>
      </c>
      <c r="AL79" s="10" t="s">
        <v>86</v>
      </c>
      <c r="AM79" s="11">
        <f>10*SUMPRODUCT(--(AC79:AL79&lt;&gt;""),--(((AC79:AL79=정답표!$C$6:$L$6)+(AC79:AL79=정답표!$C$7:$L$7))&gt;0))</f>
        <v>80</v>
      </c>
      <c r="AN79" s="10" t="s">
        <v>243</v>
      </c>
      <c r="AO79" s="10" t="s">
        <v>244</v>
      </c>
      <c r="AP79" s="10" t="s">
        <v>245</v>
      </c>
      <c r="AQ79" s="10" t="s">
        <v>246</v>
      </c>
      <c r="AR79" s="10" t="s">
        <v>247</v>
      </c>
      <c r="AS79" s="10" t="s">
        <v>248</v>
      </c>
      <c r="AT79" s="10" t="s">
        <v>249</v>
      </c>
      <c r="AU79" s="10" t="s">
        <v>250</v>
      </c>
      <c r="AV79" s="10" t="s">
        <v>86</v>
      </c>
      <c r="AW79" s="10" t="s">
        <v>86</v>
      </c>
      <c r="AX79" s="11">
        <f>10*SUMPRODUCT(--(AN79:AW79&lt;&gt;""),--(((AN79:AW79=정답표!$C$8:$L$8)+(AN79:AW79=정답표!$C$9:$L$9))&gt;0))</f>
        <v>100</v>
      </c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1"/>
      <c r="BJ79" s="11">
        <f t="shared" si="10"/>
        <v>270</v>
      </c>
      <c r="BK79" s="12">
        <f t="shared" si="11"/>
        <v>3</v>
      </c>
      <c r="BL79" s="28">
        <f>IF(QuizMatchTable[[#This Row],[분반]]=1, QuizMatchTable[[#This Row],[퀴즈합계]]/4 *0.3, QuizMatchTable[[#This Row],[퀴즈합계]]/5*0.3)</f>
        <v>16.2</v>
      </c>
      <c r="BM79" s="28">
        <v>24.67</v>
      </c>
      <c r="BN79" s="28">
        <v>19.2</v>
      </c>
      <c r="BO79" s="13"/>
      <c r="BP79" s="28">
        <f>SUM(QuizMatchTable[[#This Row],[퀴즈점수(30)]],BM79,BN79,BO79)</f>
        <v>60.070000000000007</v>
      </c>
      <c r="BQ79" s="13">
        <f t="shared" si="12"/>
        <v>25</v>
      </c>
      <c r="BR79" s="33" t="s">
        <v>657</v>
      </c>
      <c r="BS79" s="13">
        <v>8</v>
      </c>
      <c r="BT79" s="13"/>
    </row>
    <row r="80" spans="1:72" x14ac:dyDescent="0.3">
      <c r="A80" s="30" t="s">
        <v>64</v>
      </c>
      <c r="B80" s="8">
        <v>3</v>
      </c>
      <c r="C80" s="8">
        <v>20220172</v>
      </c>
      <c r="D80" s="9" t="s">
        <v>457</v>
      </c>
      <c r="E80" s="8" t="s">
        <v>458</v>
      </c>
      <c r="F80" s="9" t="s">
        <v>459</v>
      </c>
      <c r="G80" s="10" t="s">
        <v>68</v>
      </c>
      <c r="H80" s="10" t="s">
        <v>69</v>
      </c>
      <c r="I80" s="10" t="s">
        <v>70</v>
      </c>
      <c r="J80" s="10" t="s">
        <v>71</v>
      </c>
      <c r="K80" s="10" t="s">
        <v>72</v>
      </c>
      <c r="L80" s="10" t="s">
        <v>73</v>
      </c>
      <c r="M80" s="10" t="s">
        <v>74</v>
      </c>
      <c r="N80" s="10" t="s">
        <v>75</v>
      </c>
      <c r="O80" s="10" t="s">
        <v>76</v>
      </c>
      <c r="P80" s="10" t="s">
        <v>77</v>
      </c>
      <c r="Q80" s="11">
        <f>10*SUMPRODUCT(--(G80:P80&lt;&gt;""),--(((G80:P80=정답표!$C$2:$L$2)+(G80:P80=정답표!$C$3:$L$3))&gt;0))</f>
        <v>100</v>
      </c>
      <c r="R80" s="10" t="s">
        <v>78</v>
      </c>
      <c r="S80" s="10" t="s">
        <v>79</v>
      </c>
      <c r="T80" s="10" t="s">
        <v>80</v>
      </c>
      <c r="U80" s="10" t="s">
        <v>81</v>
      </c>
      <c r="V80" s="10" t="s">
        <v>82</v>
      </c>
      <c r="W80" s="10" t="s">
        <v>83</v>
      </c>
      <c r="X80" s="10" t="s">
        <v>84</v>
      </c>
      <c r="Y80" s="10" t="s">
        <v>136</v>
      </c>
      <c r="Z80" s="10" t="s">
        <v>86</v>
      </c>
      <c r="AA80" s="10" t="s">
        <v>86</v>
      </c>
      <c r="AB80" s="11">
        <f>10*SUMPRODUCT(--(R80:AA80&lt;&gt;""),--(((R80:AA80=정답표!$C$4:$L$4)+(R80:AA80=정답표!$C$5:$L$5))&gt;0))</f>
        <v>90</v>
      </c>
      <c r="AC80" s="10" t="s">
        <v>87</v>
      </c>
      <c r="AD80" s="10" t="s">
        <v>88</v>
      </c>
      <c r="AE80" s="10" t="s">
        <v>89</v>
      </c>
      <c r="AF80" s="10" t="s">
        <v>90</v>
      </c>
      <c r="AG80" s="10" t="s">
        <v>91</v>
      </c>
      <c r="AH80" s="10" t="s">
        <v>92</v>
      </c>
      <c r="AI80" s="10" t="s">
        <v>93</v>
      </c>
      <c r="AJ80" s="10" t="s">
        <v>94</v>
      </c>
      <c r="AK80" s="10" t="s">
        <v>86</v>
      </c>
      <c r="AL80" s="10" t="s">
        <v>86</v>
      </c>
      <c r="AM80" s="11">
        <f>10*SUMPRODUCT(--(AC80:AL80&lt;&gt;""),--(((AC80:AL80=정답표!$C$6:$L$6)+(AC80:AL80=정답표!$C$7:$L$7))&gt;0))</f>
        <v>100</v>
      </c>
      <c r="AN80" s="10" t="s">
        <v>243</v>
      </c>
      <c r="AO80" s="10" t="s">
        <v>244</v>
      </c>
      <c r="AP80" s="10" t="s">
        <v>245</v>
      </c>
      <c r="AQ80" s="10" t="s">
        <v>246</v>
      </c>
      <c r="AR80" s="10" t="s">
        <v>247</v>
      </c>
      <c r="AS80" s="10" t="s">
        <v>248</v>
      </c>
      <c r="AT80" s="10" t="s">
        <v>249</v>
      </c>
      <c r="AU80" s="10" t="s">
        <v>250</v>
      </c>
      <c r="AV80" s="10" t="s">
        <v>86</v>
      </c>
      <c r="AW80" s="10" t="s">
        <v>86</v>
      </c>
      <c r="AX80" s="11">
        <f>10*SUMPRODUCT(--(AN80:AW80&lt;&gt;""),--(((AN80:AW80=정답표!$C$8:$L$8)+(AN80:AW80=정답표!$C$9:$L$9))&gt;0))</f>
        <v>100</v>
      </c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1"/>
      <c r="BJ80" s="11">
        <f t="shared" si="10"/>
        <v>390</v>
      </c>
      <c r="BK80" s="12">
        <f t="shared" si="11"/>
        <v>4</v>
      </c>
      <c r="BL80" s="28">
        <f>IF(QuizMatchTable[[#This Row],[분반]]=1, QuizMatchTable[[#This Row],[퀴즈합계]]/4 *0.3, QuizMatchTable[[#This Row],[퀴즈합계]]/5*0.3)</f>
        <v>23.4</v>
      </c>
      <c r="BM80" s="28">
        <v>26.67</v>
      </c>
      <c r="BN80" s="28">
        <v>17.600000000000001</v>
      </c>
      <c r="BO80" s="13"/>
      <c r="BP80" s="28">
        <f>SUM(QuizMatchTable[[#This Row],[퀴즈점수(30)]],BM80,BN80,BO80)</f>
        <v>67.67</v>
      </c>
      <c r="BQ80" s="13">
        <f t="shared" si="12"/>
        <v>20</v>
      </c>
      <c r="BR80" s="33" t="s">
        <v>657</v>
      </c>
      <c r="BS80" s="13">
        <v>5</v>
      </c>
      <c r="BT80" s="13"/>
    </row>
    <row r="81" spans="1:72" x14ac:dyDescent="0.3">
      <c r="A81" s="30" t="s">
        <v>64</v>
      </c>
      <c r="B81" s="8">
        <v>3</v>
      </c>
      <c r="C81" s="8">
        <v>20220173</v>
      </c>
      <c r="D81" s="9" t="s">
        <v>499</v>
      </c>
      <c r="E81" s="8" t="s">
        <v>500</v>
      </c>
      <c r="F81" s="9" t="s">
        <v>501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1"/>
      <c r="R81" s="10" t="s">
        <v>213</v>
      </c>
      <c r="S81" s="10" t="s">
        <v>502</v>
      </c>
      <c r="T81" s="10" t="s">
        <v>80</v>
      </c>
      <c r="U81" s="10" t="s">
        <v>475</v>
      </c>
      <c r="V81" s="10" t="s">
        <v>363</v>
      </c>
      <c r="W81" s="10" t="s">
        <v>332</v>
      </c>
      <c r="X81" s="10" t="s">
        <v>84</v>
      </c>
      <c r="Y81" s="10" t="s">
        <v>503</v>
      </c>
      <c r="Z81" s="10" t="s">
        <v>86</v>
      </c>
      <c r="AA81" s="10" t="s">
        <v>86</v>
      </c>
      <c r="AB81" s="11">
        <f>10*SUMPRODUCT(--(R81:AA81&lt;&gt;""),--(((R81:AA81=정답표!$C$4:$L$4)+(R81:AA81=정답표!$C$5:$L$5))&gt;0))</f>
        <v>40</v>
      </c>
      <c r="AC81" s="10" t="s">
        <v>476</v>
      </c>
      <c r="AD81" s="10" t="s">
        <v>88</v>
      </c>
      <c r="AE81" s="10" t="s">
        <v>327</v>
      </c>
      <c r="AF81" s="10" t="s">
        <v>90</v>
      </c>
      <c r="AG81" s="10" t="s">
        <v>161</v>
      </c>
      <c r="AH81" s="10" t="s">
        <v>92</v>
      </c>
      <c r="AI81" s="10" t="s">
        <v>93</v>
      </c>
      <c r="AJ81" s="10" t="s">
        <v>313</v>
      </c>
      <c r="AK81" s="10" t="s">
        <v>86</v>
      </c>
      <c r="AL81" s="10" t="s">
        <v>86</v>
      </c>
      <c r="AM81" s="11">
        <f>10*SUMPRODUCT(--(AC81:AL81&lt;&gt;""),--(((AC81:AL81=정답표!$C$6:$L$6)+(AC81:AL81=정답표!$C$7:$L$7))&gt;0))</f>
        <v>60</v>
      </c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1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1"/>
      <c r="BJ81" s="11">
        <f t="shared" si="10"/>
        <v>100</v>
      </c>
      <c r="BK81" s="12">
        <f t="shared" si="11"/>
        <v>2</v>
      </c>
      <c r="BL81" s="28">
        <f>IF(QuizMatchTable[[#This Row],[분반]]=1, QuizMatchTable[[#This Row],[퀴즈합계]]/4 *0.3, QuizMatchTable[[#This Row],[퀴즈합계]]/5*0.3)</f>
        <v>6</v>
      </c>
      <c r="BM81" s="28">
        <v>26.67</v>
      </c>
      <c r="BN81" s="28">
        <v>15.6</v>
      </c>
      <c r="BO81" s="13"/>
      <c r="BP81" s="28">
        <f>SUM(QuizMatchTable[[#This Row],[퀴즈점수(30)]],BM81,BN81,BO81)</f>
        <v>48.27</v>
      </c>
      <c r="BQ81" s="13">
        <f t="shared" si="12"/>
        <v>29</v>
      </c>
      <c r="BR81" s="33" t="s">
        <v>657</v>
      </c>
      <c r="BS81" s="13">
        <v>5</v>
      </c>
      <c r="BT81" s="13"/>
    </row>
    <row r="82" spans="1:72" x14ac:dyDescent="0.3">
      <c r="A82" s="30" t="s">
        <v>64</v>
      </c>
      <c r="B82" s="8">
        <v>3</v>
      </c>
      <c r="C82" s="8">
        <v>20220174</v>
      </c>
      <c r="D82" s="9" t="s">
        <v>396</v>
      </c>
      <c r="E82" s="8" t="s">
        <v>397</v>
      </c>
      <c r="F82" s="9" t="s">
        <v>398</v>
      </c>
      <c r="G82" s="10" t="s">
        <v>269</v>
      </c>
      <c r="H82" s="10" t="s">
        <v>69</v>
      </c>
      <c r="I82" s="10" t="s">
        <v>70</v>
      </c>
      <c r="J82" s="10" t="s">
        <v>71</v>
      </c>
      <c r="K82" s="10" t="s">
        <v>72</v>
      </c>
      <c r="L82" s="10" t="s">
        <v>73</v>
      </c>
      <c r="M82" s="10" t="s">
        <v>74</v>
      </c>
      <c r="N82" s="10" t="s">
        <v>75</v>
      </c>
      <c r="O82" s="10" t="s">
        <v>76</v>
      </c>
      <c r="P82" s="10" t="s">
        <v>77</v>
      </c>
      <c r="Q82" s="11">
        <f>10*SUMPRODUCT(--(G82:P82&lt;&gt;""),--(((G82:P82=정답표!$C$2:$L$2)+(G82:P82=정답표!$C$3:$L$3))&gt;0))</f>
        <v>90</v>
      </c>
      <c r="R82" s="10" t="s">
        <v>78</v>
      </c>
      <c r="S82" s="10" t="s">
        <v>79</v>
      </c>
      <c r="T82" s="10" t="s">
        <v>80</v>
      </c>
      <c r="U82" s="10" t="s">
        <v>81</v>
      </c>
      <c r="V82" s="10" t="s">
        <v>82</v>
      </c>
      <c r="W82" s="10" t="s">
        <v>83</v>
      </c>
      <c r="X82" s="10" t="s">
        <v>84</v>
      </c>
      <c r="Y82" s="10" t="s">
        <v>85</v>
      </c>
      <c r="Z82" s="10" t="s">
        <v>86</v>
      </c>
      <c r="AA82" s="10" t="s">
        <v>86</v>
      </c>
      <c r="AB82" s="11">
        <f>10*SUMPRODUCT(--(R82:AA82&lt;&gt;""),--(((R82:AA82=정답표!$C$4:$L$4)+(R82:AA82=정답표!$C$5:$L$5))&gt;0))</f>
        <v>100</v>
      </c>
      <c r="AC82" s="10" t="s">
        <v>87</v>
      </c>
      <c r="AD82" s="10" t="s">
        <v>88</v>
      </c>
      <c r="AE82" s="10" t="s">
        <v>89</v>
      </c>
      <c r="AF82" s="10" t="s">
        <v>90</v>
      </c>
      <c r="AG82" s="10" t="s">
        <v>91</v>
      </c>
      <c r="AH82" s="10" t="s">
        <v>92</v>
      </c>
      <c r="AI82" s="10" t="s">
        <v>93</v>
      </c>
      <c r="AJ82" s="10" t="s">
        <v>94</v>
      </c>
      <c r="AK82" s="10" t="s">
        <v>86</v>
      </c>
      <c r="AL82" s="10" t="s">
        <v>86</v>
      </c>
      <c r="AM82" s="11">
        <f>10*SUMPRODUCT(--(AC82:AL82&lt;&gt;""),--(((AC82:AL82=정답표!$C$6:$L$6)+(AC82:AL82=정답표!$C$7:$L$7))&gt;0))</f>
        <v>100</v>
      </c>
      <c r="AN82" s="10" t="s">
        <v>243</v>
      </c>
      <c r="AO82" s="10" t="s">
        <v>244</v>
      </c>
      <c r="AP82" s="10" t="s">
        <v>245</v>
      </c>
      <c r="AQ82" s="10" t="s">
        <v>246</v>
      </c>
      <c r="AR82" s="10" t="s">
        <v>247</v>
      </c>
      <c r="AS82" s="10" t="s">
        <v>248</v>
      </c>
      <c r="AT82" s="10" t="s">
        <v>249</v>
      </c>
      <c r="AU82" s="10" t="s">
        <v>250</v>
      </c>
      <c r="AV82" s="10" t="s">
        <v>86</v>
      </c>
      <c r="AW82" s="10" t="s">
        <v>86</v>
      </c>
      <c r="AX82" s="11">
        <f>10*SUMPRODUCT(--(AN82:AW82&lt;&gt;""),--(((AN82:AW82=정답표!$C$8:$L$8)+(AN82:AW82=정답표!$C$9:$L$9))&gt;0))</f>
        <v>100</v>
      </c>
      <c r="AY82" s="10" t="s">
        <v>95</v>
      </c>
      <c r="AZ82" s="10" t="s">
        <v>96</v>
      </c>
      <c r="BA82" s="10" t="s">
        <v>97</v>
      </c>
      <c r="BB82" s="10" t="s">
        <v>98</v>
      </c>
      <c r="BC82" s="10" t="s">
        <v>99</v>
      </c>
      <c r="BD82" s="10" t="s">
        <v>100</v>
      </c>
      <c r="BE82" s="10" t="s">
        <v>101</v>
      </c>
      <c r="BF82" s="10" t="s">
        <v>86</v>
      </c>
      <c r="BG82" s="10" t="s">
        <v>86</v>
      </c>
      <c r="BH82" s="10" t="s">
        <v>102</v>
      </c>
      <c r="BI82" s="11">
        <f>10*SUMPRODUCT(--(AY82:BH82&lt;&gt;""),--(((AY82:BH82=정답표!$C$10:$L$10)+(AY82:BH82=정답표!$C$11:$L$11))&gt;0))</f>
        <v>100</v>
      </c>
      <c r="BJ82" s="11">
        <f t="shared" si="10"/>
        <v>490</v>
      </c>
      <c r="BK82" s="12">
        <f t="shared" si="11"/>
        <v>5</v>
      </c>
      <c r="BL82" s="28">
        <f>IF(QuizMatchTable[[#This Row],[분반]]=1, QuizMatchTable[[#This Row],[퀴즈합계]]/4 *0.3, QuizMatchTable[[#This Row],[퀴즈합계]]/5*0.3)</f>
        <v>29.4</v>
      </c>
      <c r="BM82" s="28">
        <v>30</v>
      </c>
      <c r="BN82" s="28">
        <v>18.39</v>
      </c>
      <c r="BO82" s="13"/>
      <c r="BP82" s="28">
        <f>SUM(QuizMatchTable[[#This Row],[퀴즈점수(30)]],BM82,BN82,BO82)</f>
        <v>77.789999999999992</v>
      </c>
      <c r="BQ82" s="13">
        <f t="shared" si="12"/>
        <v>4</v>
      </c>
      <c r="BR82" s="33" t="s">
        <v>653</v>
      </c>
      <c r="BS82" s="13">
        <v>0</v>
      </c>
      <c r="BT82" s="13"/>
    </row>
    <row r="83" spans="1:72" x14ac:dyDescent="0.3">
      <c r="A83" s="30" t="s">
        <v>64</v>
      </c>
      <c r="B83" s="8">
        <v>3</v>
      </c>
      <c r="C83" s="8">
        <v>20220175</v>
      </c>
      <c r="D83" s="9" t="s">
        <v>402</v>
      </c>
      <c r="E83" s="8" t="s">
        <v>403</v>
      </c>
      <c r="F83" s="9" t="s">
        <v>404</v>
      </c>
      <c r="G83" s="10" t="s">
        <v>68</v>
      </c>
      <c r="H83" s="10" t="s">
        <v>69</v>
      </c>
      <c r="I83" s="10" t="s">
        <v>70</v>
      </c>
      <c r="J83" s="10" t="s">
        <v>71</v>
      </c>
      <c r="K83" s="10" t="s">
        <v>72</v>
      </c>
      <c r="L83" s="10" t="s">
        <v>73</v>
      </c>
      <c r="M83" s="10" t="s">
        <v>74</v>
      </c>
      <c r="N83" s="10" t="s">
        <v>75</v>
      </c>
      <c r="O83" s="10" t="s">
        <v>76</v>
      </c>
      <c r="P83" s="10" t="s">
        <v>77</v>
      </c>
      <c r="Q83" s="11">
        <f>10*SUMPRODUCT(--(G83:P83&lt;&gt;""),--(((G83:P83=정답표!$C$2:$L$2)+(G83:P83=정답표!$C$3:$L$3))&gt;0))</f>
        <v>100</v>
      </c>
      <c r="R83" s="10" t="s">
        <v>78</v>
      </c>
      <c r="S83" s="10" t="s">
        <v>79</v>
      </c>
      <c r="T83" s="10" t="s">
        <v>153</v>
      </c>
      <c r="U83" s="10" t="s">
        <v>81</v>
      </c>
      <c r="V83" s="10" t="s">
        <v>82</v>
      </c>
      <c r="W83" s="10" t="s">
        <v>83</v>
      </c>
      <c r="X83" s="10" t="s">
        <v>84</v>
      </c>
      <c r="Y83" s="10" t="s">
        <v>85</v>
      </c>
      <c r="Z83" s="10" t="s">
        <v>86</v>
      </c>
      <c r="AA83" s="10" t="s">
        <v>86</v>
      </c>
      <c r="AB83" s="11">
        <f>10*SUMPRODUCT(--(R83:AA83&lt;&gt;""),--(((R83:AA83=정답표!$C$4:$L$4)+(R83:AA83=정답표!$C$5:$L$5))&gt;0))</f>
        <v>90</v>
      </c>
      <c r="AC83" s="10" t="s">
        <v>87</v>
      </c>
      <c r="AD83" s="10" t="s">
        <v>88</v>
      </c>
      <c r="AE83" s="10" t="s">
        <v>89</v>
      </c>
      <c r="AF83" s="10" t="s">
        <v>90</v>
      </c>
      <c r="AG83" s="10" t="s">
        <v>91</v>
      </c>
      <c r="AH83" s="10" t="s">
        <v>92</v>
      </c>
      <c r="AI83" s="10" t="s">
        <v>93</v>
      </c>
      <c r="AJ83" s="10" t="s">
        <v>94</v>
      </c>
      <c r="AK83" s="10" t="s">
        <v>86</v>
      </c>
      <c r="AL83" s="10" t="s">
        <v>86</v>
      </c>
      <c r="AM83" s="11">
        <f>10*SUMPRODUCT(--(AC83:AL83&lt;&gt;""),--(((AC83:AL83=정답표!$C$6:$L$6)+(AC83:AL83=정답표!$C$7:$L$7))&gt;0))</f>
        <v>100</v>
      </c>
      <c r="AN83" s="10" t="s">
        <v>243</v>
      </c>
      <c r="AO83" s="10" t="s">
        <v>244</v>
      </c>
      <c r="AP83" s="10" t="s">
        <v>245</v>
      </c>
      <c r="AQ83" s="10" t="s">
        <v>246</v>
      </c>
      <c r="AR83" s="10" t="s">
        <v>247</v>
      </c>
      <c r="AS83" s="10" t="s">
        <v>248</v>
      </c>
      <c r="AT83" s="10" t="s">
        <v>249</v>
      </c>
      <c r="AU83" s="10" t="s">
        <v>250</v>
      </c>
      <c r="AV83" s="10" t="s">
        <v>86</v>
      </c>
      <c r="AW83" s="10" t="s">
        <v>86</v>
      </c>
      <c r="AX83" s="11">
        <f>10*SUMPRODUCT(--(AN83:AW83&lt;&gt;""),--(((AN83:AW83=정답표!$C$8:$L$8)+(AN83:AW83=정답표!$C$9:$L$9))&gt;0))</f>
        <v>100</v>
      </c>
      <c r="AY83" s="10" t="s">
        <v>95</v>
      </c>
      <c r="AZ83" s="10" t="s">
        <v>96</v>
      </c>
      <c r="BA83" s="10" t="s">
        <v>97</v>
      </c>
      <c r="BB83" s="10" t="s">
        <v>98</v>
      </c>
      <c r="BC83" s="10" t="s">
        <v>99</v>
      </c>
      <c r="BD83" s="10" t="s">
        <v>100</v>
      </c>
      <c r="BE83" s="10" t="s">
        <v>101</v>
      </c>
      <c r="BF83" s="10" t="s">
        <v>86</v>
      </c>
      <c r="BG83" s="10" t="s">
        <v>86</v>
      </c>
      <c r="BH83" s="10" t="s">
        <v>102</v>
      </c>
      <c r="BI83" s="11">
        <f>10*SUMPRODUCT(--(AY83:BH83&lt;&gt;""),--(((AY83:BH83=정답표!$C$10:$L$10)+(AY83:BH83=정답표!$C$11:$L$11))&gt;0))</f>
        <v>100</v>
      </c>
      <c r="BJ83" s="11">
        <f t="shared" si="10"/>
        <v>490</v>
      </c>
      <c r="BK83" s="12">
        <f t="shared" si="11"/>
        <v>5</v>
      </c>
      <c r="BL83" s="28">
        <f>IF(QuizMatchTable[[#This Row],[분반]]=1, QuizMatchTable[[#This Row],[퀴즈합계]]/4 *0.3, QuizMatchTable[[#This Row],[퀴즈합계]]/5*0.3)</f>
        <v>29.4</v>
      </c>
      <c r="BM83" s="28">
        <v>30</v>
      </c>
      <c r="BN83" s="28">
        <v>19.2</v>
      </c>
      <c r="BO83" s="13"/>
      <c r="BP83" s="28">
        <f>SUM(QuizMatchTable[[#This Row],[퀴즈점수(30)]],BM83,BN83,BO83)</f>
        <v>78.599999999999994</v>
      </c>
      <c r="BQ83" s="13">
        <f t="shared" si="12"/>
        <v>1</v>
      </c>
      <c r="BR83" s="33" t="s">
        <v>653</v>
      </c>
      <c r="BS83" s="13">
        <v>0</v>
      </c>
      <c r="BT83" s="13"/>
    </row>
    <row r="84" spans="1:72" x14ac:dyDescent="0.3">
      <c r="A84" s="30" t="s">
        <v>64</v>
      </c>
      <c r="B84" s="8">
        <v>3</v>
      </c>
      <c r="C84" s="8">
        <v>20220176</v>
      </c>
      <c r="D84" s="9" t="s">
        <v>423</v>
      </c>
      <c r="E84" s="8" t="s">
        <v>424</v>
      </c>
      <c r="F84" s="9" t="s">
        <v>425</v>
      </c>
      <c r="G84" s="10" t="s">
        <v>68</v>
      </c>
      <c r="H84" s="10" t="s">
        <v>69</v>
      </c>
      <c r="I84" s="10" t="s">
        <v>70</v>
      </c>
      <c r="J84" s="10" t="s">
        <v>71</v>
      </c>
      <c r="K84" s="10" t="s">
        <v>72</v>
      </c>
      <c r="L84" s="10" t="s">
        <v>73</v>
      </c>
      <c r="M84" s="10" t="s">
        <v>74</v>
      </c>
      <c r="N84" s="10" t="s">
        <v>75</v>
      </c>
      <c r="O84" s="10" t="s">
        <v>76</v>
      </c>
      <c r="P84" s="10" t="s">
        <v>77</v>
      </c>
      <c r="Q84" s="11">
        <f>10*SUMPRODUCT(--(G84:P84&lt;&gt;""),--(((G84:P84=정답표!$C$2:$L$2)+(G84:P84=정답표!$C$3:$L$3))&gt;0))</f>
        <v>100</v>
      </c>
      <c r="R84" s="10" t="s">
        <v>78</v>
      </c>
      <c r="S84" s="10" t="s">
        <v>79</v>
      </c>
      <c r="T84" s="10" t="s">
        <v>80</v>
      </c>
      <c r="U84" s="10" t="s">
        <v>81</v>
      </c>
      <c r="V84" s="10" t="s">
        <v>82</v>
      </c>
      <c r="W84" s="10" t="s">
        <v>83</v>
      </c>
      <c r="X84" s="10" t="s">
        <v>84</v>
      </c>
      <c r="Y84" s="10" t="s">
        <v>85</v>
      </c>
      <c r="Z84" s="10" t="s">
        <v>86</v>
      </c>
      <c r="AA84" s="10" t="s">
        <v>86</v>
      </c>
      <c r="AB84" s="11">
        <f>10*SUMPRODUCT(--(R84:AA84&lt;&gt;""),--(((R84:AA84=정답표!$C$4:$L$4)+(R84:AA84=정답표!$C$5:$L$5))&gt;0))</f>
        <v>100</v>
      </c>
      <c r="AC84" s="10" t="s">
        <v>87</v>
      </c>
      <c r="AD84" s="10" t="s">
        <v>88</v>
      </c>
      <c r="AE84" s="10" t="s">
        <v>89</v>
      </c>
      <c r="AF84" s="10" t="s">
        <v>90</v>
      </c>
      <c r="AG84" s="10" t="s">
        <v>161</v>
      </c>
      <c r="AH84" s="10" t="s">
        <v>92</v>
      </c>
      <c r="AI84" s="10" t="s">
        <v>93</v>
      </c>
      <c r="AJ84" s="10" t="s">
        <v>94</v>
      </c>
      <c r="AK84" s="10" t="s">
        <v>86</v>
      </c>
      <c r="AL84" s="10" t="s">
        <v>86</v>
      </c>
      <c r="AM84" s="11">
        <f>10*SUMPRODUCT(--(AC84:AL84&lt;&gt;""),--(((AC84:AL84=정답표!$C$6:$L$6)+(AC84:AL84=정답표!$C$7:$L$7))&gt;0))</f>
        <v>90</v>
      </c>
      <c r="AN84" s="10" t="s">
        <v>243</v>
      </c>
      <c r="AO84" s="10" t="s">
        <v>244</v>
      </c>
      <c r="AP84" s="10" t="s">
        <v>364</v>
      </c>
      <c r="AQ84" s="10" t="s">
        <v>246</v>
      </c>
      <c r="AR84" s="10" t="s">
        <v>247</v>
      </c>
      <c r="AS84" s="10"/>
      <c r="AT84" s="10" t="s">
        <v>321</v>
      </c>
      <c r="AU84" s="10" t="s">
        <v>250</v>
      </c>
      <c r="AV84" s="10" t="s">
        <v>86</v>
      </c>
      <c r="AW84" s="10" t="s">
        <v>86</v>
      </c>
      <c r="AX84" s="11">
        <f>10*SUMPRODUCT(--(AN84:AW84&lt;&gt;""),--(((AN84:AW84=정답표!$C$8:$L$8)+(AN84:AW84=정답표!$C$9:$L$9))&gt;0))</f>
        <v>70</v>
      </c>
      <c r="AY84" s="10" t="s">
        <v>95</v>
      </c>
      <c r="AZ84" s="10" t="s">
        <v>96</v>
      </c>
      <c r="BA84" s="10" t="s">
        <v>97</v>
      </c>
      <c r="BB84" s="10" t="s">
        <v>98</v>
      </c>
      <c r="BC84" s="10" t="s">
        <v>99</v>
      </c>
      <c r="BD84" s="10" t="s">
        <v>100</v>
      </c>
      <c r="BE84" s="10" t="s">
        <v>101</v>
      </c>
      <c r="BF84" s="10" t="s">
        <v>86</v>
      </c>
      <c r="BG84" s="10" t="s">
        <v>86</v>
      </c>
      <c r="BH84" s="10" t="s">
        <v>102</v>
      </c>
      <c r="BI84" s="11">
        <f>10*SUMPRODUCT(--(AY84:BH84&lt;&gt;""),--(((AY84:BH84=정답표!$C$10:$L$10)+(AY84:BH84=정답표!$C$11:$L$11))&gt;0))</f>
        <v>100</v>
      </c>
      <c r="BJ84" s="11">
        <f t="shared" si="10"/>
        <v>460</v>
      </c>
      <c r="BK84" s="12">
        <f t="shared" si="11"/>
        <v>5</v>
      </c>
      <c r="BL84" s="28">
        <f>IF(QuizMatchTable[[#This Row],[분반]]=1, QuizMatchTable[[#This Row],[퀴즈합계]]/4 *0.3, QuizMatchTable[[#This Row],[퀴즈합계]]/5*0.3)</f>
        <v>27.599999999999998</v>
      </c>
      <c r="BM84" s="28">
        <v>30</v>
      </c>
      <c r="BN84" s="28">
        <v>19.600000000000001</v>
      </c>
      <c r="BO84" s="13"/>
      <c r="BP84" s="28">
        <f>SUM(QuizMatchTable[[#This Row],[퀴즈점수(30)]],BM84,BN84,BO84)</f>
        <v>77.199999999999989</v>
      </c>
      <c r="BQ84" s="13">
        <f t="shared" si="12"/>
        <v>7</v>
      </c>
      <c r="BR84" s="33" t="s">
        <v>654</v>
      </c>
      <c r="BS84" s="13">
        <v>0</v>
      </c>
      <c r="BT84" s="13"/>
    </row>
    <row r="85" spans="1:72" x14ac:dyDescent="0.3">
      <c r="A85" s="30" t="s">
        <v>64</v>
      </c>
      <c r="B85" s="8">
        <v>3</v>
      </c>
      <c r="C85" s="8">
        <v>20220177</v>
      </c>
      <c r="D85" s="9" t="s">
        <v>439</v>
      </c>
      <c r="E85" s="8" t="s">
        <v>440</v>
      </c>
      <c r="F85" s="9" t="s">
        <v>441</v>
      </c>
      <c r="G85" s="10" t="s">
        <v>68</v>
      </c>
      <c r="H85" s="10" t="s">
        <v>69</v>
      </c>
      <c r="I85" s="10" t="s">
        <v>70</v>
      </c>
      <c r="J85" s="10" t="s">
        <v>71</v>
      </c>
      <c r="K85" s="10" t="s">
        <v>72</v>
      </c>
      <c r="L85" s="10" t="s">
        <v>73</v>
      </c>
      <c r="M85" s="10" t="s">
        <v>135</v>
      </c>
      <c r="N85" s="10" t="s">
        <v>75</v>
      </c>
      <c r="O85" s="10" t="s">
        <v>76</v>
      </c>
      <c r="P85" s="10" t="s">
        <v>77</v>
      </c>
      <c r="Q85" s="11">
        <f>10*SUMPRODUCT(--(G85:P85&lt;&gt;""),--(((G85:P85=정답표!$C$2:$L$2)+(G85:P85=정답표!$C$3:$L$3))&gt;0))</f>
        <v>90</v>
      </c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1"/>
      <c r="AC85" s="10" t="s">
        <v>87</v>
      </c>
      <c r="AD85" s="10" t="s">
        <v>88</v>
      </c>
      <c r="AE85" s="10" t="s">
        <v>89</v>
      </c>
      <c r="AF85" s="10" t="s">
        <v>90</v>
      </c>
      <c r="AG85" s="10" t="s">
        <v>91</v>
      </c>
      <c r="AH85" s="10" t="s">
        <v>92</v>
      </c>
      <c r="AI85" s="10" t="s">
        <v>93</v>
      </c>
      <c r="AJ85" s="10" t="s">
        <v>94</v>
      </c>
      <c r="AK85" s="10" t="s">
        <v>86</v>
      </c>
      <c r="AL85" s="10" t="s">
        <v>86</v>
      </c>
      <c r="AM85" s="11">
        <f>10*SUMPRODUCT(--(AC85:AL85&lt;&gt;""),--(((AC85:AL85=정답표!$C$6:$L$6)+(AC85:AL85=정답표!$C$7:$L$7))&gt;0))</f>
        <v>100</v>
      </c>
      <c r="AN85" s="10" t="s">
        <v>243</v>
      </c>
      <c r="AO85" s="10" t="s">
        <v>244</v>
      </c>
      <c r="AP85" s="10" t="s">
        <v>245</v>
      </c>
      <c r="AQ85" s="10" t="s">
        <v>246</v>
      </c>
      <c r="AR85" s="10" t="s">
        <v>247</v>
      </c>
      <c r="AS85" s="10" t="s">
        <v>248</v>
      </c>
      <c r="AT85" s="10" t="s">
        <v>249</v>
      </c>
      <c r="AU85" s="10" t="s">
        <v>250</v>
      </c>
      <c r="AV85" s="10" t="s">
        <v>86</v>
      </c>
      <c r="AW85" s="10" t="s">
        <v>86</v>
      </c>
      <c r="AX85" s="11">
        <f>10*SUMPRODUCT(--(AN85:AW85&lt;&gt;""),--(((AN85:AW85=정답표!$C$8:$L$8)+(AN85:AW85=정답표!$C$9:$L$9))&gt;0))</f>
        <v>100</v>
      </c>
      <c r="AY85" s="10" t="s">
        <v>95</v>
      </c>
      <c r="AZ85" s="10" t="s">
        <v>96</v>
      </c>
      <c r="BA85" s="10" t="s">
        <v>97</v>
      </c>
      <c r="BB85" s="10" t="s">
        <v>98</v>
      </c>
      <c r="BC85" s="10" t="s">
        <v>99</v>
      </c>
      <c r="BD85" s="10" t="s">
        <v>100</v>
      </c>
      <c r="BE85" s="10" t="s">
        <v>101</v>
      </c>
      <c r="BF85" s="10" t="s">
        <v>86</v>
      </c>
      <c r="BG85" s="10" t="s">
        <v>86</v>
      </c>
      <c r="BH85" s="10" t="s">
        <v>102</v>
      </c>
      <c r="BI85" s="11">
        <f>10*SUMPRODUCT(--(AY85:BH85&lt;&gt;""),--(((AY85:BH85=정답표!$C$10:$L$10)+(AY85:BH85=정답표!$C$11:$L$11))&gt;0))</f>
        <v>100</v>
      </c>
      <c r="BJ85" s="11">
        <f t="shared" si="10"/>
        <v>390</v>
      </c>
      <c r="BK85" s="12">
        <f t="shared" si="11"/>
        <v>4</v>
      </c>
      <c r="BL85" s="28">
        <f>IF(QuizMatchTable[[#This Row],[분반]]=1, QuizMatchTable[[#This Row],[퀴즈합계]]/4 *0.3, QuizMatchTable[[#This Row],[퀴즈합계]]/5*0.3)</f>
        <v>23.4</v>
      </c>
      <c r="BM85" s="28">
        <v>27.33</v>
      </c>
      <c r="BN85" s="28">
        <v>18.39</v>
      </c>
      <c r="BO85" s="13"/>
      <c r="BP85" s="28">
        <f>SUM(QuizMatchTable[[#This Row],[퀴즈점수(30)]],BM85,BN85,BO85)</f>
        <v>69.12</v>
      </c>
      <c r="BQ85" s="13">
        <f t="shared" si="12"/>
        <v>17</v>
      </c>
      <c r="BR85" s="33" t="s">
        <v>656</v>
      </c>
      <c r="BS85" s="13">
        <v>4</v>
      </c>
      <c r="BT85" s="13"/>
    </row>
    <row r="86" spans="1:72" x14ac:dyDescent="0.3">
      <c r="A86" s="30" t="s">
        <v>64</v>
      </c>
      <c r="B86" s="8">
        <v>3</v>
      </c>
      <c r="C86" s="8">
        <v>20220179</v>
      </c>
      <c r="D86" s="9" t="s">
        <v>451</v>
      </c>
      <c r="E86" s="8" t="s">
        <v>452</v>
      </c>
      <c r="F86" s="9" t="s">
        <v>453</v>
      </c>
      <c r="G86" s="10" t="s">
        <v>68</v>
      </c>
      <c r="H86" s="10" t="s">
        <v>69</v>
      </c>
      <c r="I86" s="10" t="s">
        <v>70</v>
      </c>
      <c r="J86" s="10" t="s">
        <v>71</v>
      </c>
      <c r="K86" s="10" t="s">
        <v>72</v>
      </c>
      <c r="L86" s="10" t="s">
        <v>73</v>
      </c>
      <c r="M86" s="10" t="s">
        <v>74</v>
      </c>
      <c r="N86" s="10" t="s">
        <v>75</v>
      </c>
      <c r="O86" s="10" t="s">
        <v>76</v>
      </c>
      <c r="P86" s="10" t="s">
        <v>77</v>
      </c>
      <c r="Q86" s="11">
        <f>10*SUMPRODUCT(--(G86:P86&lt;&gt;""),--(((G86:P86=정답표!$C$2:$L$2)+(G86:P86=정답표!$C$3:$L$3))&gt;0))</f>
        <v>100</v>
      </c>
      <c r="R86" s="10" t="s">
        <v>343</v>
      </c>
      <c r="S86" s="10" t="s">
        <v>79</v>
      </c>
      <c r="T86" s="10" t="s">
        <v>80</v>
      </c>
      <c r="U86" s="10" t="s">
        <v>81</v>
      </c>
      <c r="V86" s="10" t="s">
        <v>82</v>
      </c>
      <c r="W86" s="10" t="s">
        <v>83</v>
      </c>
      <c r="X86" s="10" t="s">
        <v>84</v>
      </c>
      <c r="Y86" s="10" t="s">
        <v>85</v>
      </c>
      <c r="Z86" s="10" t="s">
        <v>86</v>
      </c>
      <c r="AA86" s="10" t="s">
        <v>86</v>
      </c>
      <c r="AB86" s="11">
        <f>10*SUMPRODUCT(--(R86:AA86&lt;&gt;""),--(((R86:AA86=정답표!$C$4:$L$4)+(R86:AA86=정답표!$C$5:$L$5))&gt;0))</f>
        <v>90</v>
      </c>
      <c r="AC86" s="10" t="s">
        <v>87</v>
      </c>
      <c r="AD86" s="10" t="s">
        <v>88</v>
      </c>
      <c r="AE86" s="10" t="s">
        <v>89</v>
      </c>
      <c r="AF86" s="10" t="s">
        <v>90</v>
      </c>
      <c r="AG86" s="10" t="s">
        <v>91</v>
      </c>
      <c r="AH86" s="10" t="s">
        <v>92</v>
      </c>
      <c r="AI86" s="10" t="s">
        <v>93</v>
      </c>
      <c r="AJ86" s="10" t="s">
        <v>94</v>
      </c>
      <c r="AK86" s="10" t="s">
        <v>86</v>
      </c>
      <c r="AL86" s="10" t="s">
        <v>86</v>
      </c>
      <c r="AM86" s="11">
        <f>10*SUMPRODUCT(--(AC86:AL86&lt;&gt;""),--(((AC86:AL86=정답표!$C$6:$L$6)+(AC86:AL86=정답표!$C$7:$L$7))&gt;0))</f>
        <v>100</v>
      </c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1"/>
      <c r="AY86" s="10" t="s">
        <v>95</v>
      </c>
      <c r="AZ86" s="10" t="s">
        <v>96</v>
      </c>
      <c r="BA86" s="10" t="s">
        <v>97</v>
      </c>
      <c r="BB86" s="10" t="s">
        <v>98</v>
      </c>
      <c r="BC86" s="10" t="s">
        <v>99</v>
      </c>
      <c r="BD86" s="10" t="s">
        <v>100</v>
      </c>
      <c r="BE86" s="10" t="s">
        <v>101</v>
      </c>
      <c r="BF86" s="10" t="s">
        <v>86</v>
      </c>
      <c r="BG86" s="10" t="s">
        <v>86</v>
      </c>
      <c r="BH86" s="10" t="s">
        <v>102</v>
      </c>
      <c r="BI86" s="11">
        <f>10*SUMPRODUCT(--(AY86:BH86&lt;&gt;""),--(((AY86:BH86=정답표!$C$10:$L$10)+(AY86:BH86=정답표!$C$11:$L$11))&gt;0))</f>
        <v>100</v>
      </c>
      <c r="BJ86" s="11">
        <f t="shared" si="10"/>
        <v>390</v>
      </c>
      <c r="BK86" s="12">
        <f t="shared" si="11"/>
        <v>4</v>
      </c>
      <c r="BL86" s="28">
        <f>IF(QuizMatchTable[[#This Row],[분반]]=1, QuizMatchTable[[#This Row],[퀴즈합계]]/4 *0.3, QuizMatchTable[[#This Row],[퀴즈합계]]/5*0.3)</f>
        <v>23.4</v>
      </c>
      <c r="BM86" s="28">
        <v>28</v>
      </c>
      <c r="BN86" s="28">
        <v>18</v>
      </c>
      <c r="BO86" s="13"/>
      <c r="BP86" s="28">
        <f>SUM(QuizMatchTable[[#This Row],[퀴즈점수(30)]],BM86,BN86,BO86)</f>
        <v>69.400000000000006</v>
      </c>
      <c r="BQ86" s="13">
        <f t="shared" si="12"/>
        <v>15</v>
      </c>
      <c r="BR86" s="33" t="s">
        <v>655</v>
      </c>
      <c r="BS86" s="13">
        <v>3</v>
      </c>
      <c r="BT86" s="13"/>
    </row>
    <row r="87" spans="1:72" x14ac:dyDescent="0.3">
      <c r="A87" s="30" t="s">
        <v>64</v>
      </c>
      <c r="B87" s="8">
        <v>3</v>
      </c>
      <c r="C87" s="8">
        <v>20220183</v>
      </c>
      <c r="D87" s="9" t="s">
        <v>399</v>
      </c>
      <c r="E87" s="8" t="s">
        <v>400</v>
      </c>
      <c r="F87" s="9" t="s">
        <v>401</v>
      </c>
      <c r="G87" s="10" t="s">
        <v>269</v>
      </c>
      <c r="H87" s="10" t="s">
        <v>69</v>
      </c>
      <c r="I87" s="10" t="s">
        <v>70</v>
      </c>
      <c r="J87" s="10" t="s">
        <v>71</v>
      </c>
      <c r="K87" s="10" t="s">
        <v>72</v>
      </c>
      <c r="L87" s="10" t="s">
        <v>73</v>
      </c>
      <c r="M87" s="10" t="s">
        <v>74</v>
      </c>
      <c r="N87" s="10" t="s">
        <v>75</v>
      </c>
      <c r="O87" s="10" t="s">
        <v>76</v>
      </c>
      <c r="P87" s="10" t="s">
        <v>77</v>
      </c>
      <c r="Q87" s="11">
        <f>10*SUMPRODUCT(--(G87:P87&lt;&gt;""),--(((G87:P87=정답표!$C$2:$L$2)+(G87:P87=정답표!$C$3:$L$3))&gt;0))</f>
        <v>90</v>
      </c>
      <c r="R87" s="10" t="s">
        <v>78</v>
      </c>
      <c r="S87" s="10" t="s">
        <v>79</v>
      </c>
      <c r="T87" s="10" t="s">
        <v>80</v>
      </c>
      <c r="U87" s="10" t="s">
        <v>81</v>
      </c>
      <c r="V87" s="10" t="s">
        <v>82</v>
      </c>
      <c r="W87" s="10" t="s">
        <v>83</v>
      </c>
      <c r="X87" s="10" t="s">
        <v>84</v>
      </c>
      <c r="Y87" s="10" t="s">
        <v>85</v>
      </c>
      <c r="Z87" s="10" t="s">
        <v>86</v>
      </c>
      <c r="AA87" s="10" t="s">
        <v>86</v>
      </c>
      <c r="AB87" s="11">
        <f>10*SUMPRODUCT(--(R87:AA87&lt;&gt;""),--(((R87:AA87=정답표!$C$4:$L$4)+(R87:AA87=정답표!$C$5:$L$5))&gt;0))</f>
        <v>100</v>
      </c>
      <c r="AC87" s="10" t="s">
        <v>87</v>
      </c>
      <c r="AD87" s="10" t="s">
        <v>88</v>
      </c>
      <c r="AE87" s="10" t="s">
        <v>89</v>
      </c>
      <c r="AF87" s="10" t="s">
        <v>90</v>
      </c>
      <c r="AG87" s="10" t="s">
        <v>91</v>
      </c>
      <c r="AH87" s="10" t="s">
        <v>92</v>
      </c>
      <c r="AI87" s="10" t="s">
        <v>93</v>
      </c>
      <c r="AJ87" s="10" t="s">
        <v>94</v>
      </c>
      <c r="AK87" s="10" t="s">
        <v>86</v>
      </c>
      <c r="AL87" s="10" t="s">
        <v>86</v>
      </c>
      <c r="AM87" s="11">
        <f>10*SUMPRODUCT(--(AC87:AL87&lt;&gt;""),--(((AC87:AL87=정답표!$C$6:$L$6)+(AC87:AL87=정답표!$C$7:$L$7))&gt;0))</f>
        <v>100</v>
      </c>
      <c r="AN87" s="10" t="s">
        <v>243</v>
      </c>
      <c r="AO87" s="10" t="s">
        <v>244</v>
      </c>
      <c r="AP87" s="10" t="s">
        <v>245</v>
      </c>
      <c r="AQ87" s="10" t="s">
        <v>246</v>
      </c>
      <c r="AR87" s="10" t="s">
        <v>247</v>
      </c>
      <c r="AS87" s="10" t="s">
        <v>248</v>
      </c>
      <c r="AT87" s="10" t="s">
        <v>249</v>
      </c>
      <c r="AU87" s="10" t="s">
        <v>250</v>
      </c>
      <c r="AV87" s="10" t="s">
        <v>86</v>
      </c>
      <c r="AW87" s="10" t="s">
        <v>86</v>
      </c>
      <c r="AX87" s="11">
        <f>10*SUMPRODUCT(--(AN87:AW87&lt;&gt;""),--(((AN87:AW87=정답표!$C$8:$L$8)+(AN87:AW87=정답표!$C$9:$L$9))&gt;0))</f>
        <v>100</v>
      </c>
      <c r="AY87" s="10" t="s">
        <v>95</v>
      </c>
      <c r="AZ87" s="10" t="s">
        <v>96</v>
      </c>
      <c r="BA87" s="10" t="s">
        <v>97</v>
      </c>
      <c r="BB87" s="10" t="s">
        <v>98</v>
      </c>
      <c r="BC87" s="10" t="s">
        <v>99</v>
      </c>
      <c r="BD87" s="10" t="s">
        <v>100</v>
      </c>
      <c r="BE87" s="10" t="s">
        <v>101</v>
      </c>
      <c r="BF87" s="10" t="s">
        <v>86</v>
      </c>
      <c r="BG87" s="10" t="s">
        <v>86</v>
      </c>
      <c r="BH87" s="10" t="s">
        <v>102</v>
      </c>
      <c r="BI87" s="11">
        <f>10*SUMPRODUCT(--(AY87:BH87&lt;&gt;""),--(((AY87:BH87=정답표!$C$10:$L$10)+(AY87:BH87=정답표!$C$11:$L$11))&gt;0))</f>
        <v>100</v>
      </c>
      <c r="BJ87" s="11">
        <f t="shared" si="10"/>
        <v>490</v>
      </c>
      <c r="BK87" s="12">
        <f t="shared" si="11"/>
        <v>5</v>
      </c>
      <c r="BL87" s="28">
        <f>IF(QuizMatchTable[[#This Row],[분반]]=1, QuizMatchTable[[#This Row],[퀴즈합계]]/4 *0.3, QuizMatchTable[[#This Row],[퀴즈합계]]/5*0.3)</f>
        <v>29.4</v>
      </c>
      <c r="BM87" s="28">
        <v>25.33</v>
      </c>
      <c r="BN87" s="28">
        <v>18.39</v>
      </c>
      <c r="BO87" s="13"/>
      <c r="BP87" s="28">
        <f>SUM(QuizMatchTable[[#This Row],[퀴즈점수(30)]],BM87,BN87,BO87)</f>
        <v>73.12</v>
      </c>
      <c r="BQ87" s="13">
        <f t="shared" si="12"/>
        <v>11</v>
      </c>
      <c r="BR87" s="33" t="s">
        <v>655</v>
      </c>
      <c r="BS87" s="13">
        <v>7</v>
      </c>
      <c r="BT87" s="13"/>
    </row>
    <row r="88" spans="1:72" x14ac:dyDescent="0.3">
      <c r="A88" s="30" t="s">
        <v>64</v>
      </c>
      <c r="B88" s="8">
        <v>3</v>
      </c>
      <c r="C88" s="8">
        <v>20220186</v>
      </c>
      <c r="D88" s="9" t="s">
        <v>464</v>
      </c>
      <c r="E88" s="8" t="s">
        <v>465</v>
      </c>
      <c r="F88" s="9" t="s">
        <v>466</v>
      </c>
      <c r="G88" s="10" t="s">
        <v>68</v>
      </c>
      <c r="H88" s="10" t="s">
        <v>69</v>
      </c>
      <c r="I88" s="10" t="s">
        <v>70</v>
      </c>
      <c r="J88" s="10" t="s">
        <v>71</v>
      </c>
      <c r="K88" s="10" t="s">
        <v>72</v>
      </c>
      <c r="L88" s="10" t="s">
        <v>198</v>
      </c>
      <c r="M88" s="10" t="s">
        <v>432</v>
      </c>
      <c r="N88" s="10" t="s">
        <v>75</v>
      </c>
      <c r="O88" s="10" t="s">
        <v>76</v>
      </c>
      <c r="P88" s="10" t="s">
        <v>77</v>
      </c>
      <c r="Q88" s="11">
        <f>10*SUMPRODUCT(--(G88:P88&lt;&gt;""),--(((G88:P88=정답표!$C$2:$L$2)+(G88:P88=정답표!$C$3:$L$3))&gt;0))</f>
        <v>80</v>
      </c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1"/>
      <c r="AC88" s="10" t="s">
        <v>87</v>
      </c>
      <c r="AD88" s="10" t="s">
        <v>88</v>
      </c>
      <c r="AE88" s="10" t="s">
        <v>89</v>
      </c>
      <c r="AF88" s="10" t="s">
        <v>90</v>
      </c>
      <c r="AG88" s="10" t="s">
        <v>91</v>
      </c>
      <c r="AH88" s="10" t="s">
        <v>92</v>
      </c>
      <c r="AI88" s="10" t="s">
        <v>93</v>
      </c>
      <c r="AJ88" s="10" t="s">
        <v>94</v>
      </c>
      <c r="AK88" s="10" t="s">
        <v>86</v>
      </c>
      <c r="AL88" s="10" t="s">
        <v>86</v>
      </c>
      <c r="AM88" s="11">
        <f>10*SUMPRODUCT(--(AC88:AL88&lt;&gt;""),--(((AC88:AL88=정답표!$C$6:$L$6)+(AC88:AL88=정답표!$C$7:$L$7))&gt;0))</f>
        <v>100</v>
      </c>
      <c r="AN88" s="10" t="s">
        <v>243</v>
      </c>
      <c r="AO88" s="10" t="s">
        <v>244</v>
      </c>
      <c r="AP88" s="10" t="s">
        <v>245</v>
      </c>
      <c r="AQ88" s="10" t="s">
        <v>246</v>
      </c>
      <c r="AR88" s="10" t="s">
        <v>467</v>
      </c>
      <c r="AS88" s="10" t="s">
        <v>248</v>
      </c>
      <c r="AT88" s="10" t="s">
        <v>249</v>
      </c>
      <c r="AU88" s="10" t="s">
        <v>250</v>
      </c>
      <c r="AV88" s="10" t="s">
        <v>86</v>
      </c>
      <c r="AW88" s="10" t="s">
        <v>86</v>
      </c>
      <c r="AX88" s="11">
        <f>10*SUMPRODUCT(--(AN88:AW88&lt;&gt;""),--(((AN88:AW88=정답표!$C$8:$L$8)+(AN88:AW88=정답표!$C$9:$L$9))&gt;0))</f>
        <v>90</v>
      </c>
      <c r="AY88" s="10" t="s">
        <v>95</v>
      </c>
      <c r="AZ88" s="10" t="s">
        <v>96</v>
      </c>
      <c r="BA88" s="10" t="s">
        <v>97</v>
      </c>
      <c r="BB88" s="10" t="s">
        <v>98</v>
      </c>
      <c r="BC88" s="10" t="s">
        <v>99</v>
      </c>
      <c r="BD88" s="10" t="s">
        <v>302</v>
      </c>
      <c r="BE88" s="10" t="s">
        <v>101</v>
      </c>
      <c r="BF88" s="10" t="s">
        <v>86</v>
      </c>
      <c r="BG88" s="10" t="s">
        <v>86</v>
      </c>
      <c r="BH88" s="10" t="s">
        <v>102</v>
      </c>
      <c r="BI88" s="11">
        <f>10*SUMPRODUCT(--(AY88:BH88&lt;&gt;""),--(((AY88:BH88=정답표!$C$10:$L$10)+(AY88:BH88=정답표!$C$11:$L$11))&gt;0))</f>
        <v>90</v>
      </c>
      <c r="BJ88" s="11">
        <f t="shared" si="10"/>
        <v>360</v>
      </c>
      <c r="BK88" s="12">
        <f t="shared" si="11"/>
        <v>4</v>
      </c>
      <c r="BL88" s="28">
        <f>IF(QuizMatchTable[[#This Row],[분반]]=1, QuizMatchTable[[#This Row],[퀴즈합계]]/4 *0.3, QuizMatchTable[[#This Row],[퀴즈합계]]/5*0.3)</f>
        <v>21.599999999999998</v>
      </c>
      <c r="BM88" s="28">
        <v>27.33</v>
      </c>
      <c r="BN88" s="28">
        <v>18.39</v>
      </c>
      <c r="BO88" s="13"/>
      <c r="BP88" s="28">
        <f>SUM(QuizMatchTable[[#This Row],[퀴즈점수(30)]],BM88,BN88,BO88)</f>
        <v>67.319999999999993</v>
      </c>
      <c r="BQ88" s="13">
        <f t="shared" si="12"/>
        <v>21</v>
      </c>
      <c r="BR88" s="33" t="s">
        <v>657</v>
      </c>
      <c r="BS88" s="13">
        <v>4</v>
      </c>
      <c r="BT88" s="13"/>
    </row>
    <row r="89" spans="1:72" x14ac:dyDescent="0.3">
      <c r="A89" s="30" t="s">
        <v>64</v>
      </c>
      <c r="B89" s="8">
        <v>3</v>
      </c>
      <c r="C89" s="8">
        <v>20220187</v>
      </c>
      <c r="D89" s="9" t="s">
        <v>489</v>
      </c>
      <c r="E89" s="8" t="s">
        <v>490</v>
      </c>
      <c r="F89" s="9" t="s">
        <v>491</v>
      </c>
      <c r="G89" s="10" t="s">
        <v>68</v>
      </c>
      <c r="H89" s="10" t="s">
        <v>69</v>
      </c>
      <c r="I89" s="10" t="s">
        <v>70</v>
      </c>
      <c r="J89" s="10" t="s">
        <v>71</v>
      </c>
      <c r="K89" s="10" t="s">
        <v>72</v>
      </c>
      <c r="L89" s="10" t="s">
        <v>73</v>
      </c>
      <c r="M89" s="10" t="s">
        <v>74</v>
      </c>
      <c r="N89" s="10" t="s">
        <v>75</v>
      </c>
      <c r="O89" s="10" t="s">
        <v>76</v>
      </c>
      <c r="P89" s="10" t="s">
        <v>77</v>
      </c>
      <c r="Q89" s="11">
        <f>10*SUMPRODUCT(--(G89:P89&lt;&gt;""),--(((G89:P89=정답표!$C$2:$L$2)+(G89:P89=정답표!$C$3:$L$3))&gt;0))</f>
        <v>100</v>
      </c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1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1"/>
      <c r="AN89" s="10" t="s">
        <v>243</v>
      </c>
      <c r="AO89" s="10" t="s">
        <v>244</v>
      </c>
      <c r="AP89" s="10" t="s">
        <v>245</v>
      </c>
      <c r="AQ89" s="10" t="s">
        <v>246</v>
      </c>
      <c r="AR89" s="10" t="s">
        <v>247</v>
      </c>
      <c r="AS89" s="10" t="s">
        <v>248</v>
      </c>
      <c r="AT89" s="10" t="s">
        <v>249</v>
      </c>
      <c r="AU89" s="10" t="s">
        <v>250</v>
      </c>
      <c r="AV89" s="10" t="s">
        <v>86</v>
      </c>
      <c r="AW89" s="10" t="s">
        <v>86</v>
      </c>
      <c r="AX89" s="11">
        <f>10*SUMPRODUCT(--(AN89:AW89&lt;&gt;""),--(((AN89:AW89=정답표!$C$8:$L$8)+(AN89:AW89=정답표!$C$9:$L$9))&gt;0))</f>
        <v>100</v>
      </c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1"/>
      <c r="BJ89" s="11">
        <f t="shared" si="10"/>
        <v>200</v>
      </c>
      <c r="BK89" s="12">
        <f t="shared" si="11"/>
        <v>2</v>
      </c>
      <c r="BL89" s="28">
        <f>IF(QuizMatchTable[[#This Row],[분반]]=1, QuizMatchTable[[#This Row],[퀴즈합계]]/4 *0.3, QuizMatchTable[[#This Row],[퀴즈합계]]/5*0.3)</f>
        <v>12</v>
      </c>
      <c r="BM89" s="28">
        <v>24.67</v>
      </c>
      <c r="BN89" s="28">
        <v>19.2</v>
      </c>
      <c r="BO89" s="13"/>
      <c r="BP89" s="28">
        <f>SUM(QuizMatchTable[[#This Row],[퀴즈점수(30)]],BM89,BN89,BO89)</f>
        <v>55.870000000000005</v>
      </c>
      <c r="BQ89" s="13">
        <f t="shared" si="12"/>
        <v>27</v>
      </c>
      <c r="BR89" s="33" t="s">
        <v>657</v>
      </c>
      <c r="BS89" s="13">
        <v>8</v>
      </c>
      <c r="BT89" s="13"/>
    </row>
    <row r="90" spans="1:72" x14ac:dyDescent="0.3">
      <c r="A90" s="30" t="s">
        <v>64</v>
      </c>
      <c r="B90" s="8">
        <v>3</v>
      </c>
      <c r="C90" s="8">
        <v>20220189</v>
      </c>
      <c r="D90" s="9" t="s">
        <v>411</v>
      </c>
      <c r="E90" s="8" t="s">
        <v>412</v>
      </c>
      <c r="F90" s="9" t="s">
        <v>413</v>
      </c>
      <c r="G90" s="10" t="s">
        <v>68</v>
      </c>
      <c r="H90" s="10" t="s">
        <v>69</v>
      </c>
      <c r="I90" s="10" t="s">
        <v>70</v>
      </c>
      <c r="J90" s="10"/>
      <c r="K90" s="10" t="s">
        <v>72</v>
      </c>
      <c r="L90" s="10" t="s">
        <v>73</v>
      </c>
      <c r="M90" s="10" t="s">
        <v>74</v>
      </c>
      <c r="N90" s="10" t="s">
        <v>75</v>
      </c>
      <c r="O90" s="10" t="s">
        <v>76</v>
      </c>
      <c r="P90" s="10" t="s">
        <v>77</v>
      </c>
      <c r="Q90" s="11">
        <f>10*SUMPRODUCT(--(G90:P90&lt;&gt;""),--(((G90:P90=정답표!$C$2:$L$2)+(G90:P90=정답표!$C$3:$L$3))&gt;0))</f>
        <v>90</v>
      </c>
      <c r="R90" s="10" t="s">
        <v>78</v>
      </c>
      <c r="S90" s="10" t="s">
        <v>79</v>
      </c>
      <c r="T90" s="10" t="s">
        <v>80</v>
      </c>
      <c r="U90" s="10" t="s">
        <v>81</v>
      </c>
      <c r="V90" s="10" t="s">
        <v>82</v>
      </c>
      <c r="W90" s="10" t="s">
        <v>83</v>
      </c>
      <c r="X90" s="10" t="s">
        <v>84</v>
      </c>
      <c r="Y90" s="10" t="s">
        <v>136</v>
      </c>
      <c r="Z90" s="10" t="s">
        <v>86</v>
      </c>
      <c r="AA90" s="10" t="s">
        <v>86</v>
      </c>
      <c r="AB90" s="11">
        <f>10*SUMPRODUCT(--(R90:AA90&lt;&gt;""),--(((R90:AA90=정답표!$C$4:$L$4)+(R90:AA90=정답표!$C$5:$L$5))&gt;0))</f>
        <v>90</v>
      </c>
      <c r="AC90" s="10" t="s">
        <v>87</v>
      </c>
      <c r="AD90" s="10" t="s">
        <v>88</v>
      </c>
      <c r="AE90" s="10" t="s">
        <v>89</v>
      </c>
      <c r="AF90" s="10" t="s">
        <v>90</v>
      </c>
      <c r="AG90" s="10" t="s">
        <v>91</v>
      </c>
      <c r="AH90" s="10" t="s">
        <v>92</v>
      </c>
      <c r="AI90" s="10" t="s">
        <v>93</v>
      </c>
      <c r="AJ90" s="10" t="s">
        <v>94</v>
      </c>
      <c r="AK90" s="10" t="s">
        <v>86</v>
      </c>
      <c r="AL90" s="10" t="s">
        <v>86</v>
      </c>
      <c r="AM90" s="11">
        <f>10*SUMPRODUCT(--(AC90:AL90&lt;&gt;""),--(((AC90:AL90=정답표!$C$6:$L$6)+(AC90:AL90=정답표!$C$7:$L$7))&gt;0))</f>
        <v>100</v>
      </c>
      <c r="AN90" s="10" t="s">
        <v>243</v>
      </c>
      <c r="AO90" s="10" t="s">
        <v>244</v>
      </c>
      <c r="AP90" s="10" t="s">
        <v>245</v>
      </c>
      <c r="AQ90" s="10" t="s">
        <v>246</v>
      </c>
      <c r="AR90" s="10" t="s">
        <v>247</v>
      </c>
      <c r="AS90" s="10" t="s">
        <v>248</v>
      </c>
      <c r="AT90" s="10" t="s">
        <v>249</v>
      </c>
      <c r="AU90" s="10" t="s">
        <v>250</v>
      </c>
      <c r="AV90" s="10" t="s">
        <v>86</v>
      </c>
      <c r="AW90" s="10" t="s">
        <v>86</v>
      </c>
      <c r="AX90" s="11">
        <f>10*SUMPRODUCT(--(AN90:AW90&lt;&gt;""),--(((AN90:AW90=정답표!$C$8:$L$8)+(AN90:AW90=정답표!$C$9:$L$9))&gt;0))</f>
        <v>100</v>
      </c>
      <c r="AY90" s="10" t="s">
        <v>95</v>
      </c>
      <c r="AZ90" s="10" t="s">
        <v>96</v>
      </c>
      <c r="BA90" s="10" t="s">
        <v>97</v>
      </c>
      <c r="BB90" s="10" t="s">
        <v>98</v>
      </c>
      <c r="BC90" s="10" t="s">
        <v>99</v>
      </c>
      <c r="BD90" s="10" t="s">
        <v>100</v>
      </c>
      <c r="BE90" s="10" t="s">
        <v>101</v>
      </c>
      <c r="BF90" s="10" t="s">
        <v>86</v>
      </c>
      <c r="BG90" s="10" t="s">
        <v>86</v>
      </c>
      <c r="BH90" s="10" t="s">
        <v>102</v>
      </c>
      <c r="BI90" s="11">
        <f>10*SUMPRODUCT(--(AY90:BH90&lt;&gt;""),--(((AY90:BH90=정답표!$C$10:$L$10)+(AY90:BH90=정답표!$C$11:$L$11))&gt;0))</f>
        <v>100</v>
      </c>
      <c r="BJ90" s="11">
        <f t="shared" si="10"/>
        <v>480</v>
      </c>
      <c r="BK90" s="12">
        <f t="shared" si="11"/>
        <v>5</v>
      </c>
      <c r="BL90" s="28">
        <f>IF(QuizMatchTable[[#This Row],[분반]]=1, QuizMatchTable[[#This Row],[퀴즈합계]]/4 *0.3, QuizMatchTable[[#This Row],[퀴즈합계]]/5*0.3)</f>
        <v>28.799999999999997</v>
      </c>
      <c r="BM90" s="28">
        <v>30</v>
      </c>
      <c r="BN90" s="28">
        <v>18.8</v>
      </c>
      <c r="BO90" s="13"/>
      <c r="BP90" s="28">
        <f>SUM(QuizMatchTable[[#This Row],[퀴즈점수(30)]],BM90,BN90,BO90)</f>
        <v>77.599999999999994</v>
      </c>
      <c r="BQ90" s="13">
        <f t="shared" si="12"/>
        <v>5</v>
      </c>
      <c r="BR90" s="33" t="s">
        <v>653</v>
      </c>
      <c r="BS90" s="13">
        <v>0</v>
      </c>
      <c r="BT90" s="13"/>
    </row>
    <row r="91" spans="1:72" x14ac:dyDescent="0.3">
      <c r="A91" s="30" t="s">
        <v>64</v>
      </c>
      <c r="B91" s="8">
        <v>4</v>
      </c>
      <c r="C91" s="8">
        <v>20230479</v>
      </c>
      <c r="D91" s="9" t="s">
        <v>529</v>
      </c>
      <c r="E91" s="8" t="s">
        <v>530</v>
      </c>
      <c r="F91" s="9" t="s">
        <v>531</v>
      </c>
      <c r="G91" s="10" t="s">
        <v>68</v>
      </c>
      <c r="H91" s="10" t="s">
        <v>69</v>
      </c>
      <c r="I91" s="10" t="s">
        <v>70</v>
      </c>
      <c r="J91" s="10" t="s">
        <v>71</v>
      </c>
      <c r="K91" s="10" t="s">
        <v>72</v>
      </c>
      <c r="L91" s="10" t="s">
        <v>73</v>
      </c>
      <c r="M91" s="10" t="s">
        <v>74</v>
      </c>
      <c r="N91" s="10" t="s">
        <v>75</v>
      </c>
      <c r="O91" s="10" t="s">
        <v>76</v>
      </c>
      <c r="P91" s="10" t="s">
        <v>77</v>
      </c>
      <c r="Q91" s="11">
        <f>10*SUMPRODUCT(--(G91:P91&lt;&gt;""),--(((G91:P91=정답표!$C$2:$L$2)+(G91:P91=정답표!$C$3:$L$3))&gt;0))</f>
        <v>100</v>
      </c>
      <c r="R91" s="10" t="s">
        <v>78</v>
      </c>
      <c r="S91" s="10" t="s">
        <v>79</v>
      </c>
      <c r="T91" s="10" t="s">
        <v>80</v>
      </c>
      <c r="U91" s="10" t="s">
        <v>81</v>
      </c>
      <c r="V91" s="10" t="s">
        <v>82</v>
      </c>
      <c r="W91" s="10" t="s">
        <v>83</v>
      </c>
      <c r="X91" s="10" t="s">
        <v>84</v>
      </c>
      <c r="Y91" s="10" t="s">
        <v>85</v>
      </c>
      <c r="Z91" s="10" t="s">
        <v>86</v>
      </c>
      <c r="AA91" s="10" t="s">
        <v>86</v>
      </c>
      <c r="AB91" s="11">
        <f>10*SUMPRODUCT(--(R91:AA91&lt;&gt;""),--(((R91:AA91=정답표!$C$4:$L$4)+(R91:AA91=정답표!$C$5:$L$5))&gt;0))</f>
        <v>100</v>
      </c>
      <c r="AC91" s="10" t="s">
        <v>87</v>
      </c>
      <c r="AD91" s="10" t="s">
        <v>88</v>
      </c>
      <c r="AE91" s="10" t="s">
        <v>89</v>
      </c>
      <c r="AF91" s="10" t="s">
        <v>90</v>
      </c>
      <c r="AG91" s="10" t="s">
        <v>91</v>
      </c>
      <c r="AH91" s="10" t="s">
        <v>92</v>
      </c>
      <c r="AI91" s="10" t="s">
        <v>93</v>
      </c>
      <c r="AJ91" s="10" t="s">
        <v>94</v>
      </c>
      <c r="AK91" s="10" t="s">
        <v>86</v>
      </c>
      <c r="AL91" s="10" t="s">
        <v>86</v>
      </c>
      <c r="AM91" s="11">
        <f>10*SUMPRODUCT(--(AC91:AL91&lt;&gt;""),--(((AC91:AL91=정답표!$C$6:$L$6)+(AC91:AL91=정답표!$C$7:$L$7))&gt;0))</f>
        <v>100</v>
      </c>
      <c r="AN91" s="10" t="s">
        <v>243</v>
      </c>
      <c r="AO91" s="10" t="s">
        <v>244</v>
      </c>
      <c r="AP91" s="10" t="s">
        <v>245</v>
      </c>
      <c r="AQ91" s="10" t="s">
        <v>246</v>
      </c>
      <c r="AR91" s="10" t="s">
        <v>247</v>
      </c>
      <c r="AS91" s="10" t="s">
        <v>248</v>
      </c>
      <c r="AT91" s="10" t="s">
        <v>249</v>
      </c>
      <c r="AU91" s="10" t="s">
        <v>250</v>
      </c>
      <c r="AV91" s="10" t="s">
        <v>86</v>
      </c>
      <c r="AW91" s="10"/>
      <c r="AX91" s="11">
        <f>10*SUMPRODUCT(--(AN91:AW91&lt;&gt;""),--(((AN91:AW91=정답표!$C$8:$L$8)+(AN91:AW91=정답표!$C$9:$L$9))&gt;0))</f>
        <v>90</v>
      </c>
      <c r="AY91" s="10" t="s">
        <v>95</v>
      </c>
      <c r="AZ91" s="10" t="s">
        <v>96</v>
      </c>
      <c r="BA91" s="10" t="s">
        <v>97</v>
      </c>
      <c r="BB91" s="10" t="s">
        <v>98</v>
      </c>
      <c r="BC91" s="10" t="s">
        <v>99</v>
      </c>
      <c r="BD91" s="10" t="s">
        <v>100</v>
      </c>
      <c r="BE91" s="10" t="s">
        <v>101</v>
      </c>
      <c r="BF91" s="10" t="s">
        <v>86</v>
      </c>
      <c r="BG91" s="10" t="s">
        <v>86</v>
      </c>
      <c r="BH91" s="10" t="s">
        <v>102</v>
      </c>
      <c r="BI91" s="11">
        <f>10*SUMPRODUCT(--(AY91:BH91&lt;&gt;""),--(((AY91:BH91=정답표!$C$10:$L$10)+(AY91:BH91=정답표!$C$11:$L$11))&gt;0))</f>
        <v>100</v>
      </c>
      <c r="BJ91" s="11">
        <f t="shared" si="10"/>
        <v>490</v>
      </c>
      <c r="BK91" s="12">
        <f t="shared" si="11"/>
        <v>5</v>
      </c>
      <c r="BL91" s="28">
        <f>IF(QuizMatchTable[[#This Row],[분반]]=1, QuizMatchTable[[#This Row],[퀴즈합계]]/4 *0.3, QuizMatchTable[[#This Row],[퀴즈합계]]/5*0.3)</f>
        <v>29.4</v>
      </c>
      <c r="BM91" s="28">
        <v>30</v>
      </c>
      <c r="BN91" s="28">
        <v>2.4</v>
      </c>
      <c r="BO91" s="13"/>
      <c r="BP91" s="28">
        <f>SUM(QuizMatchTable[[#This Row],[퀴즈점수(30)]],BM91,BN91,BO91)</f>
        <v>61.8</v>
      </c>
      <c r="BQ91" s="13">
        <f t="shared" si="12"/>
        <v>18</v>
      </c>
      <c r="BR91" s="33" t="s">
        <v>657</v>
      </c>
      <c r="BS91" s="13">
        <v>0</v>
      </c>
      <c r="BT91" s="13"/>
    </row>
    <row r="92" spans="1:72" x14ac:dyDescent="0.3">
      <c r="A92" s="30" t="s">
        <v>64</v>
      </c>
      <c r="B92" s="8">
        <v>4</v>
      </c>
      <c r="C92" s="8">
        <v>20230480</v>
      </c>
      <c r="D92" s="9" t="s">
        <v>544</v>
      </c>
      <c r="E92" s="8" t="s">
        <v>545</v>
      </c>
      <c r="F92" s="9" t="s">
        <v>546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1"/>
      <c r="R92" s="10" t="s">
        <v>78</v>
      </c>
      <c r="S92" s="10" t="s">
        <v>79</v>
      </c>
      <c r="T92" s="10" t="s">
        <v>80</v>
      </c>
      <c r="U92" s="10" t="s">
        <v>81</v>
      </c>
      <c r="V92" s="10" t="s">
        <v>82</v>
      </c>
      <c r="W92" s="10" t="s">
        <v>83</v>
      </c>
      <c r="X92" s="10" t="s">
        <v>84</v>
      </c>
      <c r="Y92" s="10" t="s">
        <v>85</v>
      </c>
      <c r="Z92" s="10" t="s">
        <v>86</v>
      </c>
      <c r="AA92" s="10" t="s">
        <v>86</v>
      </c>
      <c r="AB92" s="11">
        <f>10*SUMPRODUCT(--(R92:AA92&lt;&gt;""),--(((R92:AA92=정답표!$C$4:$L$4)+(R92:AA92=정답표!$C$5:$L$5))&gt;0))</f>
        <v>100</v>
      </c>
      <c r="AC92" s="10" t="s">
        <v>87</v>
      </c>
      <c r="AD92" s="10" t="s">
        <v>88</v>
      </c>
      <c r="AE92" s="10" t="s">
        <v>89</v>
      </c>
      <c r="AF92" s="10" t="s">
        <v>90</v>
      </c>
      <c r="AG92" s="10" t="s">
        <v>91</v>
      </c>
      <c r="AH92" s="10" t="s">
        <v>92</v>
      </c>
      <c r="AI92" s="10" t="s">
        <v>93</v>
      </c>
      <c r="AJ92" s="10" t="s">
        <v>94</v>
      </c>
      <c r="AK92" s="10" t="s">
        <v>86</v>
      </c>
      <c r="AL92" s="10" t="s">
        <v>86</v>
      </c>
      <c r="AM92" s="11">
        <f>10*SUMPRODUCT(--(AC92:AL92&lt;&gt;""),--(((AC92:AL92=정답표!$C$6:$L$6)+(AC92:AL92=정답표!$C$7:$L$7))&gt;0))</f>
        <v>100</v>
      </c>
      <c r="AN92" s="10" t="s">
        <v>243</v>
      </c>
      <c r="AO92" s="10" t="s">
        <v>244</v>
      </c>
      <c r="AP92" s="10" t="s">
        <v>245</v>
      </c>
      <c r="AQ92" s="10" t="s">
        <v>246</v>
      </c>
      <c r="AR92" s="10" t="s">
        <v>247</v>
      </c>
      <c r="AS92" s="10" t="s">
        <v>248</v>
      </c>
      <c r="AT92" s="10" t="s">
        <v>249</v>
      </c>
      <c r="AU92" s="10" t="s">
        <v>250</v>
      </c>
      <c r="AV92" s="10" t="s">
        <v>86</v>
      </c>
      <c r="AW92" s="10" t="s">
        <v>86</v>
      </c>
      <c r="AX92" s="11">
        <f>10*SUMPRODUCT(--(AN92:AW92&lt;&gt;""),--(((AN92:AW92=정답표!$C$8:$L$8)+(AN92:AW92=정답표!$C$9:$L$9))&gt;0))</f>
        <v>100</v>
      </c>
      <c r="AY92" s="10" t="s">
        <v>95</v>
      </c>
      <c r="AZ92" s="10" t="s">
        <v>96</v>
      </c>
      <c r="BA92" s="10" t="s">
        <v>97</v>
      </c>
      <c r="BB92" s="10" t="s">
        <v>98</v>
      </c>
      <c r="BC92" s="10" t="s">
        <v>99</v>
      </c>
      <c r="BD92" s="10" t="s">
        <v>100</v>
      </c>
      <c r="BE92" s="10" t="s">
        <v>101</v>
      </c>
      <c r="BF92" s="10" t="s">
        <v>86</v>
      </c>
      <c r="BG92" s="10" t="s">
        <v>86</v>
      </c>
      <c r="BH92" s="10" t="s">
        <v>102</v>
      </c>
      <c r="BI92" s="11">
        <f>10*SUMPRODUCT(--(AY92:BH92&lt;&gt;""),--(((AY92:BH92=정답표!$C$10:$L$10)+(AY92:BH92=정답표!$C$11:$L$11))&gt;0))</f>
        <v>100</v>
      </c>
      <c r="BJ92" s="11">
        <f t="shared" si="10"/>
        <v>400</v>
      </c>
      <c r="BK92" s="12">
        <f t="shared" si="11"/>
        <v>4</v>
      </c>
      <c r="BL92" s="28">
        <f>IF(QuizMatchTable[[#This Row],[분반]]=1, QuizMatchTable[[#This Row],[퀴즈합계]]/4 *0.3, QuizMatchTable[[#This Row],[퀴즈합계]]/5*0.3)</f>
        <v>24</v>
      </c>
      <c r="BM92" s="28">
        <v>30</v>
      </c>
      <c r="BN92" s="28">
        <v>19.600000000000001</v>
      </c>
      <c r="BO92" s="13"/>
      <c r="BP92" s="28">
        <f>SUM(QuizMatchTable[[#This Row],[퀴즈점수(30)]],BM92,BN92,BO92)</f>
        <v>73.599999999999994</v>
      </c>
      <c r="BQ92" s="13">
        <f t="shared" si="12"/>
        <v>9</v>
      </c>
      <c r="BR92" s="33" t="s">
        <v>655</v>
      </c>
      <c r="BS92" s="13">
        <v>0</v>
      </c>
      <c r="BT92" s="13"/>
    </row>
    <row r="93" spans="1:72" x14ac:dyDescent="0.3">
      <c r="A93" s="30" t="s">
        <v>64</v>
      </c>
      <c r="B93" s="8">
        <v>4</v>
      </c>
      <c r="C93" s="8">
        <v>20230481</v>
      </c>
      <c r="D93" s="9" t="s">
        <v>532</v>
      </c>
      <c r="E93" s="8" t="s">
        <v>533</v>
      </c>
      <c r="F93" s="9" t="s">
        <v>534</v>
      </c>
      <c r="G93" s="10" t="s">
        <v>68</v>
      </c>
      <c r="H93" s="10" t="s">
        <v>69</v>
      </c>
      <c r="I93" s="10" t="s">
        <v>70</v>
      </c>
      <c r="J93" s="10" t="s">
        <v>71</v>
      </c>
      <c r="K93" s="10" t="s">
        <v>72</v>
      </c>
      <c r="L93" s="10" t="s">
        <v>73</v>
      </c>
      <c r="M93" s="10" t="s">
        <v>74</v>
      </c>
      <c r="N93" s="10" t="s">
        <v>75</v>
      </c>
      <c r="O93" s="10" t="s">
        <v>76</v>
      </c>
      <c r="P93" s="10" t="s">
        <v>77</v>
      </c>
      <c r="Q93" s="11">
        <f>10*SUMPRODUCT(--(G93:P93&lt;&gt;""),--(((G93:P93=정답표!$C$2:$L$2)+(G93:P93=정답표!$C$3:$L$3))&gt;0))</f>
        <v>100</v>
      </c>
      <c r="R93" s="10" t="s">
        <v>78</v>
      </c>
      <c r="S93" s="10" t="s">
        <v>79</v>
      </c>
      <c r="T93" s="10" t="s">
        <v>80</v>
      </c>
      <c r="U93" s="10" t="s">
        <v>81</v>
      </c>
      <c r="V93" s="10" t="s">
        <v>82</v>
      </c>
      <c r="W93" s="10" t="s">
        <v>83</v>
      </c>
      <c r="X93" s="10" t="s">
        <v>84</v>
      </c>
      <c r="Y93" s="10" t="s">
        <v>85</v>
      </c>
      <c r="Z93" s="10" t="s">
        <v>86</v>
      </c>
      <c r="AA93" s="10" t="s">
        <v>86</v>
      </c>
      <c r="AB93" s="11">
        <f>10*SUMPRODUCT(--(R93:AA93&lt;&gt;""),--(((R93:AA93=정답표!$C$4:$L$4)+(R93:AA93=정답표!$C$5:$L$5))&gt;0))</f>
        <v>100</v>
      </c>
      <c r="AC93" s="10" t="s">
        <v>87</v>
      </c>
      <c r="AD93" s="10" t="s">
        <v>88</v>
      </c>
      <c r="AE93" s="10" t="s">
        <v>89</v>
      </c>
      <c r="AF93" s="10" t="s">
        <v>90</v>
      </c>
      <c r="AG93" s="10" t="s">
        <v>91</v>
      </c>
      <c r="AH93" s="10" t="s">
        <v>92</v>
      </c>
      <c r="AI93" s="10" t="s">
        <v>93</v>
      </c>
      <c r="AJ93" s="10" t="s">
        <v>94</v>
      </c>
      <c r="AK93" s="10" t="s">
        <v>86</v>
      </c>
      <c r="AL93" s="10" t="s">
        <v>86</v>
      </c>
      <c r="AM93" s="11">
        <f>10*SUMPRODUCT(--(AC93:AL93&lt;&gt;""),--(((AC93:AL93=정답표!$C$6:$L$6)+(AC93:AL93=정답표!$C$7:$L$7))&gt;0))</f>
        <v>100</v>
      </c>
      <c r="AN93" s="10" t="s">
        <v>243</v>
      </c>
      <c r="AO93" s="10" t="s">
        <v>244</v>
      </c>
      <c r="AP93" s="10" t="s">
        <v>245</v>
      </c>
      <c r="AQ93" s="10" t="s">
        <v>246</v>
      </c>
      <c r="AR93" s="10" t="s">
        <v>247</v>
      </c>
      <c r="AS93" s="10" t="s">
        <v>248</v>
      </c>
      <c r="AT93" s="10" t="s">
        <v>249</v>
      </c>
      <c r="AU93" s="10" t="s">
        <v>250</v>
      </c>
      <c r="AV93" s="10" t="s">
        <v>86</v>
      </c>
      <c r="AW93" s="10" t="s">
        <v>86</v>
      </c>
      <c r="AX93" s="11">
        <f>10*SUMPRODUCT(--(AN93:AW93&lt;&gt;""),--(((AN93:AW93=정답표!$C$8:$L$8)+(AN93:AW93=정답표!$C$9:$L$9))&gt;0))</f>
        <v>100</v>
      </c>
      <c r="AY93" s="10" t="s">
        <v>95</v>
      </c>
      <c r="AZ93" s="10" t="s">
        <v>96</v>
      </c>
      <c r="BA93" s="10" t="s">
        <v>97</v>
      </c>
      <c r="BB93" s="10" t="s">
        <v>98</v>
      </c>
      <c r="BC93" s="10" t="s">
        <v>99</v>
      </c>
      <c r="BD93" s="10" t="s">
        <v>302</v>
      </c>
      <c r="BE93" s="10" t="s">
        <v>101</v>
      </c>
      <c r="BF93" s="10" t="s">
        <v>86</v>
      </c>
      <c r="BG93" s="10" t="s">
        <v>86</v>
      </c>
      <c r="BH93" s="10" t="s">
        <v>102</v>
      </c>
      <c r="BI93" s="11">
        <f>10*SUMPRODUCT(--(AY93:BH93&lt;&gt;""),--(((AY93:BH93=정답표!$C$10:$L$10)+(AY93:BH93=정답표!$C$11:$L$11))&gt;0))</f>
        <v>90</v>
      </c>
      <c r="BJ93" s="11">
        <f t="shared" ref="BJ93:BJ124" si="13">SUM(Q93,AB93,AM93,AX93,BI93)</f>
        <v>490</v>
      </c>
      <c r="BK93" s="12">
        <f t="shared" ref="BK93:BK109" si="14">COUNT(Q93,AB93,AM93,AX93,BI93)</f>
        <v>5</v>
      </c>
      <c r="BL93" s="28">
        <f>IF(QuizMatchTable[[#This Row],[분반]]=1, QuizMatchTable[[#This Row],[퀴즈합계]]/4 *0.3, QuizMatchTable[[#This Row],[퀴즈합계]]/5*0.3)</f>
        <v>29.4</v>
      </c>
      <c r="BM93" s="28">
        <v>30</v>
      </c>
      <c r="BN93" s="28">
        <v>20</v>
      </c>
      <c r="BO93" s="13"/>
      <c r="BP93" s="28">
        <f>SUM(QuizMatchTable[[#This Row],[퀴즈점수(30)]],BM93,BN93,BO93)</f>
        <v>79.400000000000006</v>
      </c>
      <c r="BQ93" s="13">
        <f t="shared" si="12"/>
        <v>2</v>
      </c>
      <c r="BR93" s="33" t="s">
        <v>653</v>
      </c>
      <c r="BS93" s="13">
        <v>0</v>
      </c>
      <c r="BT93" s="13"/>
    </row>
    <row r="94" spans="1:72" x14ac:dyDescent="0.3">
      <c r="A94" s="30" t="s">
        <v>64</v>
      </c>
      <c r="B94" s="8">
        <v>4</v>
      </c>
      <c r="C94" s="8">
        <v>20230482</v>
      </c>
      <c r="D94" s="9" t="s">
        <v>520</v>
      </c>
      <c r="E94" s="8" t="s">
        <v>521</v>
      </c>
      <c r="F94" s="9" t="s">
        <v>522</v>
      </c>
      <c r="G94" s="10" t="s">
        <v>68</v>
      </c>
      <c r="H94" s="10" t="s">
        <v>69</v>
      </c>
      <c r="I94" s="10" t="s">
        <v>70</v>
      </c>
      <c r="J94" s="10" t="s">
        <v>71</v>
      </c>
      <c r="K94" s="10" t="s">
        <v>72</v>
      </c>
      <c r="L94" s="10" t="s">
        <v>73</v>
      </c>
      <c r="M94" s="10" t="s">
        <v>135</v>
      </c>
      <c r="N94" s="10" t="s">
        <v>75</v>
      </c>
      <c r="O94" s="10" t="s">
        <v>76</v>
      </c>
      <c r="P94" s="10" t="s">
        <v>77</v>
      </c>
      <c r="Q94" s="11">
        <f>10*SUMPRODUCT(--(G94:P94&lt;&gt;""),--(((G94:P94=정답표!$C$2:$L$2)+(G94:P94=정답표!$C$3:$L$3))&gt;0))</f>
        <v>90</v>
      </c>
      <c r="R94" s="10" t="s">
        <v>78</v>
      </c>
      <c r="S94" s="10" t="s">
        <v>79</v>
      </c>
      <c r="T94" s="10" t="s">
        <v>80</v>
      </c>
      <c r="U94" s="10" t="s">
        <v>81</v>
      </c>
      <c r="V94" s="10" t="s">
        <v>82</v>
      </c>
      <c r="W94" s="10" t="s">
        <v>83</v>
      </c>
      <c r="X94" s="10" t="s">
        <v>84</v>
      </c>
      <c r="Y94" s="10" t="s">
        <v>85</v>
      </c>
      <c r="Z94" s="10" t="s">
        <v>86</v>
      </c>
      <c r="AA94" s="10" t="s">
        <v>86</v>
      </c>
      <c r="AB94" s="11">
        <f>10*SUMPRODUCT(--(R94:AA94&lt;&gt;""),--(((R94:AA94=정답표!$C$4:$L$4)+(R94:AA94=정답표!$C$5:$L$5))&gt;0))</f>
        <v>100</v>
      </c>
      <c r="AC94" s="10" t="s">
        <v>87</v>
      </c>
      <c r="AD94" s="10" t="s">
        <v>88</v>
      </c>
      <c r="AE94" s="10" t="s">
        <v>89</v>
      </c>
      <c r="AF94" s="10" t="s">
        <v>90</v>
      </c>
      <c r="AG94" s="10" t="s">
        <v>91</v>
      </c>
      <c r="AH94" s="10" t="s">
        <v>92</v>
      </c>
      <c r="AI94" s="10" t="s">
        <v>93</v>
      </c>
      <c r="AJ94" s="10" t="s">
        <v>94</v>
      </c>
      <c r="AK94" s="10" t="s">
        <v>86</v>
      </c>
      <c r="AL94" s="10" t="s">
        <v>86</v>
      </c>
      <c r="AM94" s="11">
        <f>10*SUMPRODUCT(--(AC94:AL94&lt;&gt;""),--(((AC94:AL94=정답표!$C$6:$L$6)+(AC94:AL94=정답표!$C$7:$L$7))&gt;0))</f>
        <v>100</v>
      </c>
      <c r="AN94" s="10" t="s">
        <v>243</v>
      </c>
      <c r="AO94" s="10" t="s">
        <v>244</v>
      </c>
      <c r="AP94" s="10" t="s">
        <v>245</v>
      </c>
      <c r="AQ94" s="10" t="s">
        <v>246</v>
      </c>
      <c r="AR94" s="10" t="s">
        <v>247</v>
      </c>
      <c r="AS94" s="10" t="s">
        <v>248</v>
      </c>
      <c r="AT94" s="10" t="s">
        <v>249</v>
      </c>
      <c r="AU94" s="10" t="s">
        <v>250</v>
      </c>
      <c r="AV94" s="10" t="s">
        <v>86</v>
      </c>
      <c r="AW94" s="10" t="s">
        <v>86</v>
      </c>
      <c r="AX94" s="11">
        <f>10*SUMPRODUCT(--(AN94:AW94&lt;&gt;""),--(((AN94:AW94=정답표!$C$8:$L$8)+(AN94:AW94=정답표!$C$9:$L$9))&gt;0))</f>
        <v>100</v>
      </c>
      <c r="AY94" s="10" t="s">
        <v>95</v>
      </c>
      <c r="AZ94" s="10" t="s">
        <v>96</v>
      </c>
      <c r="BA94" s="10" t="s">
        <v>97</v>
      </c>
      <c r="BB94" s="10" t="s">
        <v>98</v>
      </c>
      <c r="BC94" s="10" t="s">
        <v>99</v>
      </c>
      <c r="BD94" s="10" t="s">
        <v>100</v>
      </c>
      <c r="BE94" s="10" t="s">
        <v>101</v>
      </c>
      <c r="BF94" s="10" t="s">
        <v>86</v>
      </c>
      <c r="BG94" s="10" t="s">
        <v>86</v>
      </c>
      <c r="BH94" s="10" t="s">
        <v>102</v>
      </c>
      <c r="BI94" s="11">
        <f>10*SUMPRODUCT(--(AY94:BH94&lt;&gt;""),--(((AY94:BH94=정답표!$C$10:$L$10)+(AY94:BH94=정답표!$C$11:$L$11))&gt;0))</f>
        <v>100</v>
      </c>
      <c r="BJ94" s="11">
        <f t="shared" si="13"/>
        <v>490</v>
      </c>
      <c r="BK94" s="12">
        <f t="shared" si="14"/>
        <v>5</v>
      </c>
      <c r="BL94" s="28">
        <f>IF(QuizMatchTable[[#This Row],[분반]]=1, QuizMatchTable[[#This Row],[퀴즈합계]]/4 *0.3, QuizMatchTable[[#This Row],[퀴즈합계]]/5*0.3)</f>
        <v>29.4</v>
      </c>
      <c r="BM94" s="28">
        <v>28</v>
      </c>
      <c r="BN94" s="28">
        <v>19.2</v>
      </c>
      <c r="BO94" s="13"/>
      <c r="BP94" s="28">
        <f>SUM(QuizMatchTable[[#This Row],[퀴즈점수(30)]],BM94,BN94,BO94)</f>
        <v>76.599999999999994</v>
      </c>
      <c r="BQ94" s="13">
        <f t="shared" si="12"/>
        <v>8</v>
      </c>
      <c r="BR94" s="33" t="s">
        <v>655</v>
      </c>
      <c r="BS94" s="13">
        <v>3</v>
      </c>
      <c r="BT94" s="13"/>
    </row>
    <row r="95" spans="1:72" x14ac:dyDescent="0.3">
      <c r="A95" s="30" t="s">
        <v>64</v>
      </c>
      <c r="B95" s="8">
        <v>4</v>
      </c>
      <c r="C95" s="8">
        <v>20230483</v>
      </c>
      <c r="D95" s="9" t="s">
        <v>523</v>
      </c>
      <c r="E95" s="8" t="s">
        <v>524</v>
      </c>
      <c r="F95" s="9" t="s">
        <v>525</v>
      </c>
      <c r="G95" s="10" t="s">
        <v>269</v>
      </c>
      <c r="H95" s="10" t="s">
        <v>69</v>
      </c>
      <c r="I95" s="10" t="s">
        <v>70</v>
      </c>
      <c r="J95" s="10" t="s">
        <v>71</v>
      </c>
      <c r="K95" s="10" t="s">
        <v>72</v>
      </c>
      <c r="L95" s="10" t="s">
        <v>73</v>
      </c>
      <c r="M95" s="10" t="s">
        <v>74</v>
      </c>
      <c r="N95" s="10" t="s">
        <v>75</v>
      </c>
      <c r="O95" s="10" t="s">
        <v>76</v>
      </c>
      <c r="P95" s="10" t="s">
        <v>77</v>
      </c>
      <c r="Q95" s="11">
        <f>10*SUMPRODUCT(--(G95:P95&lt;&gt;""),--(((G95:P95=정답표!$C$2:$L$2)+(G95:P95=정답표!$C$3:$L$3))&gt;0))</f>
        <v>90</v>
      </c>
      <c r="R95" s="10" t="s">
        <v>78</v>
      </c>
      <c r="S95" s="10" t="s">
        <v>106</v>
      </c>
      <c r="T95" s="10" t="s">
        <v>107</v>
      </c>
      <c r="U95" s="10" t="s">
        <v>108</v>
      </c>
      <c r="V95" s="10" t="s">
        <v>109</v>
      </c>
      <c r="W95" s="10" t="s">
        <v>110</v>
      </c>
      <c r="X95" s="10" t="s">
        <v>111</v>
      </c>
      <c r="Y95" s="10" t="s">
        <v>112</v>
      </c>
      <c r="Z95" s="10" t="s">
        <v>86</v>
      </c>
      <c r="AA95" s="10" t="s">
        <v>86</v>
      </c>
      <c r="AB95" s="11">
        <f>10*SUMPRODUCT(--(R95:AA95&lt;&gt;""),--(((R95:AA95=정답표!$C$4:$L$4)+(R95:AA95=정답표!$C$5:$L$5))&gt;0))</f>
        <v>100</v>
      </c>
      <c r="AC95" s="10" t="s">
        <v>87</v>
      </c>
      <c r="AD95" s="10" t="s">
        <v>88</v>
      </c>
      <c r="AE95" s="10" t="s">
        <v>89</v>
      </c>
      <c r="AF95" s="10" t="s">
        <v>90</v>
      </c>
      <c r="AG95" s="10" t="s">
        <v>91</v>
      </c>
      <c r="AH95" s="10" t="s">
        <v>92</v>
      </c>
      <c r="AI95" s="10" t="s">
        <v>93</v>
      </c>
      <c r="AJ95" s="10" t="s">
        <v>94</v>
      </c>
      <c r="AK95" s="10" t="s">
        <v>86</v>
      </c>
      <c r="AL95" s="10" t="s">
        <v>86</v>
      </c>
      <c r="AM95" s="11">
        <f>10*SUMPRODUCT(--(AC95:AL95&lt;&gt;""),--(((AC95:AL95=정답표!$C$6:$L$6)+(AC95:AL95=정답표!$C$7:$L$7))&gt;0))</f>
        <v>100</v>
      </c>
      <c r="AN95" s="10" t="s">
        <v>243</v>
      </c>
      <c r="AO95" s="10" t="s">
        <v>244</v>
      </c>
      <c r="AP95" s="10" t="s">
        <v>245</v>
      </c>
      <c r="AQ95" s="10" t="s">
        <v>246</v>
      </c>
      <c r="AR95" s="10" t="s">
        <v>247</v>
      </c>
      <c r="AS95" s="10" t="s">
        <v>248</v>
      </c>
      <c r="AT95" s="10" t="s">
        <v>249</v>
      </c>
      <c r="AU95" s="10" t="s">
        <v>250</v>
      </c>
      <c r="AV95" s="10" t="s">
        <v>86</v>
      </c>
      <c r="AW95" s="10" t="s">
        <v>86</v>
      </c>
      <c r="AX95" s="11">
        <f>10*SUMPRODUCT(--(AN95:AW95&lt;&gt;""),--(((AN95:AW95=정답표!$C$8:$L$8)+(AN95:AW95=정답표!$C$9:$L$9))&gt;0))</f>
        <v>100</v>
      </c>
      <c r="AY95" s="10" t="s">
        <v>95</v>
      </c>
      <c r="AZ95" s="10" t="s">
        <v>96</v>
      </c>
      <c r="BA95" s="10" t="s">
        <v>97</v>
      </c>
      <c r="BB95" s="10" t="s">
        <v>98</v>
      </c>
      <c r="BC95" s="10" t="s">
        <v>99</v>
      </c>
      <c r="BD95" s="10" t="s">
        <v>100</v>
      </c>
      <c r="BE95" s="10" t="s">
        <v>101</v>
      </c>
      <c r="BF95" s="10" t="s">
        <v>86</v>
      </c>
      <c r="BG95" s="10" t="s">
        <v>86</v>
      </c>
      <c r="BH95" s="10" t="s">
        <v>102</v>
      </c>
      <c r="BI95" s="11">
        <f>10*SUMPRODUCT(--(AY95:BH95&lt;&gt;""),--(((AY95:BH95=정답표!$C$10:$L$10)+(AY95:BH95=정답표!$C$11:$L$11))&gt;0))</f>
        <v>100</v>
      </c>
      <c r="BJ95" s="11">
        <f t="shared" si="13"/>
        <v>490</v>
      </c>
      <c r="BK95" s="12">
        <f t="shared" si="14"/>
        <v>5</v>
      </c>
      <c r="BL95" s="28">
        <f>IF(QuizMatchTable[[#This Row],[분반]]=1, QuizMatchTable[[#This Row],[퀴즈합계]]/4 *0.3, QuizMatchTable[[#This Row],[퀴즈합계]]/5*0.3)</f>
        <v>29.4</v>
      </c>
      <c r="BM95" s="28">
        <v>30</v>
      </c>
      <c r="BN95" s="28">
        <v>19.2</v>
      </c>
      <c r="BO95" s="13"/>
      <c r="BP95" s="28">
        <f>SUM(QuizMatchTable[[#This Row],[퀴즈점수(30)]],BM95,BN95,BO95)</f>
        <v>78.599999999999994</v>
      </c>
      <c r="BQ95" s="13">
        <f t="shared" si="12"/>
        <v>4</v>
      </c>
      <c r="BR95" s="33" t="s">
        <v>654</v>
      </c>
      <c r="BS95" s="13">
        <v>0</v>
      </c>
      <c r="BT95" s="13"/>
    </row>
    <row r="96" spans="1:72" x14ac:dyDescent="0.3">
      <c r="A96" s="30" t="s">
        <v>64</v>
      </c>
      <c r="B96" s="8">
        <v>4</v>
      </c>
      <c r="C96" s="8">
        <v>20230484</v>
      </c>
      <c r="D96" s="9" t="s">
        <v>547</v>
      </c>
      <c r="E96" s="8" t="s">
        <v>548</v>
      </c>
      <c r="F96" s="9" t="s">
        <v>549</v>
      </c>
      <c r="G96" s="10" t="s">
        <v>68</v>
      </c>
      <c r="H96" s="10" t="s">
        <v>69</v>
      </c>
      <c r="I96" s="10" t="s">
        <v>70</v>
      </c>
      <c r="J96" s="10" t="s">
        <v>71</v>
      </c>
      <c r="K96" s="10" t="s">
        <v>72</v>
      </c>
      <c r="L96" s="10" t="s">
        <v>73</v>
      </c>
      <c r="M96" s="10" t="s">
        <v>74</v>
      </c>
      <c r="N96" s="10" t="s">
        <v>75</v>
      </c>
      <c r="O96" s="10" t="s">
        <v>76</v>
      </c>
      <c r="P96" s="10" t="s">
        <v>77</v>
      </c>
      <c r="Q96" s="11">
        <f>10*SUMPRODUCT(--(G96:P96&lt;&gt;""),--(((G96:P96=정답표!$C$2:$L$2)+(G96:P96=정답표!$C$3:$L$3))&gt;0))</f>
        <v>100</v>
      </c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1"/>
      <c r="AC96" s="10" t="s">
        <v>87</v>
      </c>
      <c r="AD96" s="10" t="s">
        <v>88</v>
      </c>
      <c r="AE96" s="10" t="s">
        <v>89</v>
      </c>
      <c r="AF96" s="10" t="s">
        <v>90</v>
      </c>
      <c r="AG96" s="10" t="s">
        <v>91</v>
      </c>
      <c r="AH96" s="10" t="s">
        <v>92</v>
      </c>
      <c r="AI96" s="10" t="s">
        <v>93</v>
      </c>
      <c r="AJ96" s="10" t="s">
        <v>94</v>
      </c>
      <c r="AK96" s="10" t="s">
        <v>86</v>
      </c>
      <c r="AL96" s="10" t="s">
        <v>86</v>
      </c>
      <c r="AM96" s="11">
        <f>10*SUMPRODUCT(--(AC96:AL96&lt;&gt;""),--(((AC96:AL96=정답표!$C$6:$L$6)+(AC96:AL96=정답표!$C$7:$L$7))&gt;0))</f>
        <v>100</v>
      </c>
      <c r="AN96" s="10" t="s">
        <v>243</v>
      </c>
      <c r="AO96" s="10" t="s">
        <v>244</v>
      </c>
      <c r="AP96" s="10" t="s">
        <v>245</v>
      </c>
      <c r="AQ96" s="10" t="s">
        <v>246</v>
      </c>
      <c r="AR96" s="10" t="s">
        <v>247</v>
      </c>
      <c r="AS96" s="10" t="s">
        <v>248</v>
      </c>
      <c r="AT96" s="10" t="s">
        <v>249</v>
      </c>
      <c r="AU96" s="10" t="s">
        <v>250</v>
      </c>
      <c r="AV96" s="10" t="s">
        <v>86</v>
      </c>
      <c r="AW96" s="10" t="s">
        <v>86</v>
      </c>
      <c r="AX96" s="11">
        <f>10*SUMPRODUCT(--(AN96:AW96&lt;&gt;""),--(((AN96:AW96=정답표!$C$8:$L$8)+(AN96:AW96=정답표!$C$9:$L$9))&gt;0))</f>
        <v>100</v>
      </c>
      <c r="AY96" s="10" t="s">
        <v>95</v>
      </c>
      <c r="AZ96" s="10" t="s">
        <v>96</v>
      </c>
      <c r="BA96" s="10" t="s">
        <v>97</v>
      </c>
      <c r="BB96" s="10" t="s">
        <v>98</v>
      </c>
      <c r="BC96" s="10" t="s">
        <v>99</v>
      </c>
      <c r="BD96" s="10" t="s">
        <v>100</v>
      </c>
      <c r="BE96" s="10" t="s">
        <v>101</v>
      </c>
      <c r="BF96" s="10" t="s">
        <v>86</v>
      </c>
      <c r="BG96" s="10" t="s">
        <v>86</v>
      </c>
      <c r="BH96" s="10" t="s">
        <v>102</v>
      </c>
      <c r="BI96" s="11">
        <f>10*SUMPRODUCT(--(AY96:BH96&lt;&gt;""),--(((AY96:BH96=정답표!$C$10:$L$10)+(AY96:BH96=정답표!$C$11:$L$11))&gt;0))</f>
        <v>100</v>
      </c>
      <c r="BJ96" s="11">
        <f t="shared" si="13"/>
        <v>400</v>
      </c>
      <c r="BK96" s="12">
        <f t="shared" si="14"/>
        <v>4</v>
      </c>
      <c r="BL96" s="28">
        <f>IF(QuizMatchTable[[#This Row],[분반]]=1, QuizMatchTable[[#This Row],[퀴즈합계]]/4 *0.3, QuizMatchTable[[#This Row],[퀴즈합계]]/5*0.3)</f>
        <v>24</v>
      </c>
      <c r="BM96" s="28">
        <v>30</v>
      </c>
      <c r="BN96" s="28">
        <v>19.2</v>
      </c>
      <c r="BO96" s="13"/>
      <c r="BP96" s="28">
        <f>SUM(QuizMatchTable[[#This Row],[퀴즈점수(30)]],BM96,BN96,BO96)</f>
        <v>73.2</v>
      </c>
      <c r="BQ96" s="13">
        <f t="shared" si="12"/>
        <v>10</v>
      </c>
      <c r="BR96" s="33" t="s">
        <v>656</v>
      </c>
      <c r="BS96" s="13">
        <v>0</v>
      </c>
      <c r="BT96" s="13"/>
    </row>
    <row r="97" spans="1:72" x14ac:dyDescent="0.3">
      <c r="A97" s="30" t="s">
        <v>64</v>
      </c>
      <c r="B97" s="8">
        <v>4</v>
      </c>
      <c r="C97" s="8">
        <v>20230485</v>
      </c>
      <c r="D97" s="9" t="s">
        <v>570</v>
      </c>
      <c r="E97" s="8" t="s">
        <v>571</v>
      </c>
      <c r="F97" s="9" t="s">
        <v>572</v>
      </c>
      <c r="G97" s="10" t="s">
        <v>68</v>
      </c>
      <c r="H97" s="10" t="s">
        <v>69</v>
      </c>
      <c r="I97" s="10" t="s">
        <v>70</v>
      </c>
      <c r="J97" s="10" t="s">
        <v>71</v>
      </c>
      <c r="K97" s="10" t="s">
        <v>72</v>
      </c>
      <c r="L97" s="10" t="s">
        <v>73</v>
      </c>
      <c r="M97" s="10" t="s">
        <v>74</v>
      </c>
      <c r="N97" s="10" t="s">
        <v>75</v>
      </c>
      <c r="O97" s="10" t="s">
        <v>76</v>
      </c>
      <c r="P97" s="10" t="s">
        <v>77</v>
      </c>
      <c r="Q97" s="11">
        <f>10*SUMPRODUCT(--(G97:P97&lt;&gt;""),--(((G97:P97=정답표!$C$2:$L$2)+(G97:P97=정답표!$C$3:$L$3))&gt;0))</f>
        <v>100</v>
      </c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1"/>
      <c r="AC97" s="10" t="s">
        <v>87</v>
      </c>
      <c r="AD97" s="10" t="s">
        <v>88</v>
      </c>
      <c r="AE97" s="10" t="s">
        <v>89</v>
      </c>
      <c r="AF97" s="10" t="s">
        <v>90</v>
      </c>
      <c r="AG97" s="10" t="s">
        <v>91</v>
      </c>
      <c r="AH97" s="10" t="s">
        <v>92</v>
      </c>
      <c r="AI97" s="10" t="s">
        <v>93</v>
      </c>
      <c r="AJ97" s="10" t="s">
        <v>94</v>
      </c>
      <c r="AK97" s="10" t="s">
        <v>86</v>
      </c>
      <c r="AL97" s="10" t="s">
        <v>86</v>
      </c>
      <c r="AM97" s="11">
        <f>10*SUMPRODUCT(--(AC97:AL97&lt;&gt;""),--(((AC97:AL97=정답표!$C$6:$L$6)+(AC97:AL97=정답표!$C$7:$L$7))&gt;0))</f>
        <v>100</v>
      </c>
      <c r="AN97" s="10" t="s">
        <v>243</v>
      </c>
      <c r="AO97" s="10" t="s">
        <v>244</v>
      </c>
      <c r="AP97" s="10" t="s">
        <v>245</v>
      </c>
      <c r="AQ97" s="10" t="s">
        <v>246</v>
      </c>
      <c r="AR97" s="10" t="s">
        <v>247</v>
      </c>
      <c r="AS97" s="10" t="s">
        <v>248</v>
      </c>
      <c r="AT97" s="10" t="s">
        <v>249</v>
      </c>
      <c r="AU97" s="10" t="s">
        <v>250</v>
      </c>
      <c r="AV97" s="10" t="s">
        <v>86</v>
      </c>
      <c r="AW97" s="10" t="s">
        <v>86</v>
      </c>
      <c r="AX97" s="11">
        <f>10*SUMPRODUCT(--(AN97:AW97&lt;&gt;""),--(((AN97:AW97=정답표!$C$8:$L$8)+(AN97:AW97=정답표!$C$9:$L$9))&gt;0))</f>
        <v>100</v>
      </c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1"/>
      <c r="BJ97" s="11">
        <f t="shared" si="13"/>
        <v>300</v>
      </c>
      <c r="BK97" s="12">
        <f t="shared" si="14"/>
        <v>3</v>
      </c>
      <c r="BL97" s="28">
        <f>IF(QuizMatchTable[[#This Row],[분반]]=1, QuizMatchTable[[#This Row],[퀴즈합계]]/4 *0.3, QuizMatchTable[[#This Row],[퀴즈합계]]/5*0.3)</f>
        <v>18</v>
      </c>
      <c r="BM97" s="28">
        <v>26</v>
      </c>
      <c r="BN97" s="28">
        <v>19.2</v>
      </c>
      <c r="BO97" s="13"/>
      <c r="BP97" s="28">
        <f>SUM(QuizMatchTable[[#This Row],[퀴즈점수(30)]],BM97,BN97,BO97)</f>
        <v>63.2</v>
      </c>
      <c r="BQ97" s="13">
        <f t="shared" si="12"/>
        <v>16</v>
      </c>
      <c r="BR97" s="33" t="s">
        <v>657</v>
      </c>
      <c r="BS97" s="13">
        <v>6</v>
      </c>
      <c r="BT97" s="13"/>
    </row>
    <row r="98" spans="1:72" x14ac:dyDescent="0.3">
      <c r="A98" s="30" t="s">
        <v>64</v>
      </c>
      <c r="B98" s="8">
        <v>4</v>
      </c>
      <c r="C98" s="8">
        <v>20230486</v>
      </c>
      <c r="D98" s="9" t="s">
        <v>553</v>
      </c>
      <c r="E98" s="8" t="s">
        <v>554</v>
      </c>
      <c r="F98" s="9" t="s">
        <v>555</v>
      </c>
      <c r="G98" s="10" t="s">
        <v>68</v>
      </c>
      <c r="H98" s="10" t="s">
        <v>69</v>
      </c>
      <c r="I98" s="10" t="s">
        <v>70</v>
      </c>
      <c r="J98" s="10" t="s">
        <v>71</v>
      </c>
      <c r="K98" s="10" t="s">
        <v>72</v>
      </c>
      <c r="L98" s="10" t="s">
        <v>73</v>
      </c>
      <c r="M98" s="10" t="s">
        <v>74</v>
      </c>
      <c r="N98" s="10" t="s">
        <v>75</v>
      </c>
      <c r="O98" s="10" t="s">
        <v>76</v>
      </c>
      <c r="P98" s="10" t="s">
        <v>77</v>
      </c>
      <c r="Q98" s="11">
        <f>10*SUMPRODUCT(--(G98:P98&lt;&gt;""),--(((G98:P98=정답표!$C$2:$L$2)+(G98:P98=정답표!$C$3:$L$3))&gt;0))</f>
        <v>100</v>
      </c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1"/>
      <c r="AC98" s="10" t="s">
        <v>87</v>
      </c>
      <c r="AD98" s="10" t="s">
        <v>88</v>
      </c>
      <c r="AE98" s="10" t="s">
        <v>89</v>
      </c>
      <c r="AF98" s="10" t="s">
        <v>90</v>
      </c>
      <c r="AG98" s="10" t="s">
        <v>91</v>
      </c>
      <c r="AH98" s="10" t="s">
        <v>92</v>
      </c>
      <c r="AI98" s="10" t="s">
        <v>93</v>
      </c>
      <c r="AJ98" s="10" t="s">
        <v>94</v>
      </c>
      <c r="AK98" s="10" t="s">
        <v>86</v>
      </c>
      <c r="AL98" s="10" t="s">
        <v>86</v>
      </c>
      <c r="AM98" s="11">
        <f>10*SUMPRODUCT(--(AC98:AL98&lt;&gt;""),--(((AC98:AL98=정답표!$C$6:$L$6)+(AC98:AL98=정답표!$C$7:$L$7))&gt;0))</f>
        <v>100</v>
      </c>
      <c r="AN98" s="10" t="s">
        <v>243</v>
      </c>
      <c r="AO98" s="10" t="s">
        <v>244</v>
      </c>
      <c r="AP98" s="10" t="s">
        <v>245</v>
      </c>
      <c r="AQ98" s="10" t="s">
        <v>246</v>
      </c>
      <c r="AR98" s="10" t="s">
        <v>247</v>
      </c>
      <c r="AS98" s="10" t="s">
        <v>248</v>
      </c>
      <c r="AT98" s="10" t="s">
        <v>249</v>
      </c>
      <c r="AU98" s="10" t="s">
        <v>250</v>
      </c>
      <c r="AV98" s="10" t="s">
        <v>102</v>
      </c>
      <c r="AW98" s="10" t="s">
        <v>86</v>
      </c>
      <c r="AX98" s="11">
        <f>10*SUMPRODUCT(--(AN98:AW98&lt;&gt;""),--(((AN98:AW98=정답표!$C$8:$L$8)+(AN98:AW98=정답표!$C$9:$L$9))&gt;0))</f>
        <v>90</v>
      </c>
      <c r="AY98" s="10" t="s">
        <v>95</v>
      </c>
      <c r="AZ98" s="10" t="s">
        <v>96</v>
      </c>
      <c r="BA98" s="10" t="s">
        <v>97</v>
      </c>
      <c r="BB98" s="10" t="s">
        <v>98</v>
      </c>
      <c r="BC98" s="10" t="s">
        <v>99</v>
      </c>
      <c r="BD98" s="10" t="s">
        <v>100</v>
      </c>
      <c r="BE98" s="10" t="s">
        <v>101</v>
      </c>
      <c r="BF98" s="10" t="s">
        <v>102</v>
      </c>
      <c r="BG98" s="10" t="s">
        <v>86</v>
      </c>
      <c r="BH98" s="10" t="s">
        <v>86</v>
      </c>
      <c r="BI98" s="11">
        <f>10*SUMPRODUCT(--(AY98:BH98&lt;&gt;""),--(((AY98:BH98=정답표!$C$10:$L$10)+(AY98:BH98=정답표!$C$11:$L$11))&gt;0))</f>
        <v>80</v>
      </c>
      <c r="BJ98" s="11">
        <f t="shared" si="13"/>
        <v>370</v>
      </c>
      <c r="BK98" s="12">
        <f t="shared" si="14"/>
        <v>4</v>
      </c>
      <c r="BL98" s="28">
        <f>IF(QuizMatchTable[[#This Row],[분반]]=1, QuizMatchTable[[#This Row],[퀴즈합계]]/4 *0.3, QuizMatchTable[[#This Row],[퀴즈합계]]/5*0.3)</f>
        <v>22.2</v>
      </c>
      <c r="BM98" s="28">
        <v>27.33</v>
      </c>
      <c r="BN98" s="28">
        <v>18.8</v>
      </c>
      <c r="BO98" s="13"/>
      <c r="BP98" s="28">
        <f>SUM(QuizMatchTable[[#This Row],[퀴즈점수(30)]],BM98,BN98,BO98)</f>
        <v>68.33</v>
      </c>
      <c r="BQ98" s="13">
        <f t="shared" ref="BQ98:BQ129" si="15">IF(OR(BP98="",BP98=0,BT98="결석초과"),"",COUNTIFS($B$2:$B$109,B98,$BP$2:$BP$109,"&gt;"&amp;BP98)+1)</f>
        <v>12</v>
      </c>
      <c r="BR98" s="33" t="s">
        <v>657</v>
      </c>
      <c r="BS98" s="13">
        <v>4</v>
      </c>
      <c r="BT98" s="13"/>
    </row>
    <row r="99" spans="1:72" x14ac:dyDescent="0.3">
      <c r="A99" s="30" t="s">
        <v>64</v>
      </c>
      <c r="B99" s="8">
        <v>4</v>
      </c>
      <c r="C99" s="8">
        <v>20230487</v>
      </c>
      <c r="D99" s="9" t="s">
        <v>535</v>
      </c>
      <c r="E99" s="8" t="s">
        <v>536</v>
      </c>
      <c r="F99" s="9" t="s">
        <v>537</v>
      </c>
      <c r="G99" s="10" t="s">
        <v>68</v>
      </c>
      <c r="H99" s="10" t="s">
        <v>69</v>
      </c>
      <c r="I99" s="10" t="s">
        <v>70</v>
      </c>
      <c r="J99" s="10" t="s">
        <v>71</v>
      </c>
      <c r="K99" s="10" t="s">
        <v>72</v>
      </c>
      <c r="L99" s="10" t="s">
        <v>73</v>
      </c>
      <c r="M99" s="10" t="s">
        <v>422</v>
      </c>
      <c r="N99" s="10" t="s">
        <v>75</v>
      </c>
      <c r="O99" s="10" t="s">
        <v>76</v>
      </c>
      <c r="P99" s="10" t="s">
        <v>77</v>
      </c>
      <c r="Q99" s="11">
        <f>10*SUMPRODUCT(--(G99:P99&lt;&gt;""),--(((G99:P99=정답표!$C$2:$L$2)+(G99:P99=정답표!$C$3:$L$3))&gt;0))</f>
        <v>90</v>
      </c>
      <c r="R99" s="10" t="s">
        <v>78</v>
      </c>
      <c r="S99" s="10" t="s">
        <v>79</v>
      </c>
      <c r="T99" s="10" t="s">
        <v>80</v>
      </c>
      <c r="U99" s="10" t="s">
        <v>81</v>
      </c>
      <c r="V99" s="10" t="s">
        <v>82</v>
      </c>
      <c r="W99" s="10" t="s">
        <v>83</v>
      </c>
      <c r="X99" s="10" t="s">
        <v>84</v>
      </c>
      <c r="Y99" s="10" t="s">
        <v>85</v>
      </c>
      <c r="Z99" s="10" t="s">
        <v>86</v>
      </c>
      <c r="AA99" s="10" t="s">
        <v>86</v>
      </c>
      <c r="AB99" s="11">
        <f>10*SUMPRODUCT(--(R99:AA99&lt;&gt;""),--(((R99:AA99=정답표!$C$4:$L$4)+(R99:AA99=정답표!$C$5:$L$5))&gt;0))</f>
        <v>100</v>
      </c>
      <c r="AC99" s="10" t="s">
        <v>87</v>
      </c>
      <c r="AD99" s="10" t="s">
        <v>88</v>
      </c>
      <c r="AE99" s="10" t="s">
        <v>89</v>
      </c>
      <c r="AF99" s="10" t="s">
        <v>90</v>
      </c>
      <c r="AG99" s="10" t="s">
        <v>91</v>
      </c>
      <c r="AH99" s="10" t="s">
        <v>92</v>
      </c>
      <c r="AI99" s="10" t="s">
        <v>93</v>
      </c>
      <c r="AJ99" s="10" t="s">
        <v>385</v>
      </c>
      <c r="AK99" s="10" t="s">
        <v>86</v>
      </c>
      <c r="AL99" s="10" t="s">
        <v>86</v>
      </c>
      <c r="AM99" s="11">
        <f>10*SUMPRODUCT(--(AC99:AL99&lt;&gt;""),--(((AC99:AL99=정답표!$C$6:$L$6)+(AC99:AL99=정답표!$C$7:$L$7))&gt;0))</f>
        <v>90</v>
      </c>
      <c r="AN99" s="10" t="s">
        <v>243</v>
      </c>
      <c r="AO99" s="10" t="s">
        <v>244</v>
      </c>
      <c r="AP99" s="10" t="s">
        <v>245</v>
      </c>
      <c r="AQ99" s="10" t="s">
        <v>246</v>
      </c>
      <c r="AR99" s="10" t="s">
        <v>247</v>
      </c>
      <c r="AS99" s="10" t="s">
        <v>248</v>
      </c>
      <c r="AT99" s="10" t="s">
        <v>249</v>
      </c>
      <c r="AU99" s="10" t="s">
        <v>250</v>
      </c>
      <c r="AV99" s="10" t="s">
        <v>86</v>
      </c>
      <c r="AW99" s="10" t="s">
        <v>86</v>
      </c>
      <c r="AX99" s="11">
        <f>10*SUMPRODUCT(--(AN99:AW99&lt;&gt;""),--(((AN99:AW99=정답표!$C$8:$L$8)+(AN99:AW99=정답표!$C$9:$L$9))&gt;0))</f>
        <v>100</v>
      </c>
      <c r="AY99" s="10" t="s">
        <v>95</v>
      </c>
      <c r="AZ99" s="10" t="s">
        <v>96</v>
      </c>
      <c r="BA99" s="10" t="s">
        <v>97</v>
      </c>
      <c r="BB99" s="10" t="s">
        <v>98</v>
      </c>
      <c r="BC99" s="10" t="s">
        <v>99</v>
      </c>
      <c r="BD99" s="10" t="s">
        <v>100</v>
      </c>
      <c r="BE99" s="10" t="s">
        <v>101</v>
      </c>
      <c r="BF99" s="10" t="s">
        <v>86</v>
      </c>
      <c r="BG99" s="10" t="s">
        <v>86</v>
      </c>
      <c r="BH99" s="10" t="s">
        <v>102</v>
      </c>
      <c r="BI99" s="11">
        <f>10*SUMPRODUCT(--(AY99:BH99&lt;&gt;""),--(((AY99:BH99=정답표!$C$10:$L$10)+(AY99:BH99=정답표!$C$11:$L$11))&gt;0))</f>
        <v>100</v>
      </c>
      <c r="BJ99" s="11">
        <f t="shared" si="13"/>
        <v>480</v>
      </c>
      <c r="BK99" s="12">
        <f t="shared" si="14"/>
        <v>5</v>
      </c>
      <c r="BL99" s="28">
        <f>IF(QuizMatchTable[[#This Row],[분반]]=1, QuizMatchTable[[#This Row],[퀴즈합계]]/4 *0.3, QuizMatchTable[[#This Row],[퀴즈합계]]/5*0.3)</f>
        <v>28.799999999999997</v>
      </c>
      <c r="BM99" s="28">
        <v>30</v>
      </c>
      <c r="BN99" s="28">
        <v>19.2</v>
      </c>
      <c r="BO99" s="13"/>
      <c r="BP99" s="28">
        <f>SUM(QuizMatchTable[[#This Row],[퀴즈점수(30)]],BM99,BN99,BO99)</f>
        <v>78</v>
      </c>
      <c r="BQ99" s="13">
        <f t="shared" si="15"/>
        <v>6</v>
      </c>
      <c r="BR99" s="33" t="s">
        <v>655</v>
      </c>
      <c r="BS99" s="13">
        <v>0</v>
      </c>
      <c r="BT99" s="13"/>
    </row>
    <row r="100" spans="1:72" x14ac:dyDescent="0.3">
      <c r="A100" s="30" t="s">
        <v>64</v>
      </c>
      <c r="B100" s="8">
        <v>4</v>
      </c>
      <c r="C100" s="8">
        <v>20230488</v>
      </c>
      <c r="D100" s="9" t="s">
        <v>511</v>
      </c>
      <c r="E100" s="8" t="s">
        <v>512</v>
      </c>
      <c r="F100" s="9" t="s">
        <v>513</v>
      </c>
      <c r="G100" s="10" t="s">
        <v>68</v>
      </c>
      <c r="H100" s="10" t="s">
        <v>69</v>
      </c>
      <c r="I100" s="10" t="s">
        <v>70</v>
      </c>
      <c r="J100" s="10" t="s">
        <v>71</v>
      </c>
      <c r="K100" s="10" t="s">
        <v>72</v>
      </c>
      <c r="L100" s="10" t="s">
        <v>73</v>
      </c>
      <c r="M100" s="10" t="s">
        <v>74</v>
      </c>
      <c r="N100" s="10" t="s">
        <v>75</v>
      </c>
      <c r="O100" s="10" t="s">
        <v>76</v>
      </c>
      <c r="P100" s="10" t="s">
        <v>77</v>
      </c>
      <c r="Q100" s="11">
        <f>10*SUMPRODUCT(--(G100:P100&lt;&gt;""),--(((G100:P100=정답표!$C$2:$L$2)+(G100:P100=정답표!$C$3:$L$3))&gt;0))</f>
        <v>100</v>
      </c>
      <c r="R100" s="10" t="s">
        <v>78</v>
      </c>
      <c r="S100" s="10" t="s">
        <v>79</v>
      </c>
      <c r="T100" s="10" t="s">
        <v>80</v>
      </c>
      <c r="U100" s="10" t="s">
        <v>81</v>
      </c>
      <c r="V100" s="10" t="s">
        <v>82</v>
      </c>
      <c r="W100" s="10" t="s">
        <v>83</v>
      </c>
      <c r="X100" s="10" t="s">
        <v>84</v>
      </c>
      <c r="Y100" s="10" t="s">
        <v>85</v>
      </c>
      <c r="Z100" s="10" t="s">
        <v>86</v>
      </c>
      <c r="AA100" s="10" t="s">
        <v>86</v>
      </c>
      <c r="AB100" s="11">
        <f>10*SUMPRODUCT(--(R100:AA100&lt;&gt;""),--(((R100:AA100=정답표!$C$4:$L$4)+(R100:AA100=정답표!$C$5:$L$5))&gt;0))</f>
        <v>100</v>
      </c>
      <c r="AC100" s="10" t="s">
        <v>87</v>
      </c>
      <c r="AD100" s="10" t="s">
        <v>88</v>
      </c>
      <c r="AE100" s="10" t="s">
        <v>89</v>
      </c>
      <c r="AF100" s="10" t="s">
        <v>90</v>
      </c>
      <c r="AG100" s="10" t="s">
        <v>91</v>
      </c>
      <c r="AH100" s="10" t="s">
        <v>92</v>
      </c>
      <c r="AI100" s="10" t="s">
        <v>93</v>
      </c>
      <c r="AJ100" s="10" t="s">
        <v>94</v>
      </c>
      <c r="AK100" s="10" t="s">
        <v>86</v>
      </c>
      <c r="AL100" s="10" t="s">
        <v>86</v>
      </c>
      <c r="AM100" s="11">
        <f>10*SUMPRODUCT(--(AC100:AL100&lt;&gt;""),--(((AC100:AL100=정답표!$C$6:$L$6)+(AC100:AL100=정답표!$C$7:$L$7))&gt;0))</f>
        <v>100</v>
      </c>
      <c r="AN100" s="10" t="s">
        <v>243</v>
      </c>
      <c r="AO100" s="10" t="s">
        <v>244</v>
      </c>
      <c r="AP100" s="10" t="s">
        <v>245</v>
      </c>
      <c r="AQ100" s="10" t="s">
        <v>246</v>
      </c>
      <c r="AR100" s="10" t="s">
        <v>247</v>
      </c>
      <c r="AS100" s="10" t="s">
        <v>248</v>
      </c>
      <c r="AT100" s="10" t="s">
        <v>249</v>
      </c>
      <c r="AU100" s="10" t="s">
        <v>250</v>
      </c>
      <c r="AV100" s="10" t="s">
        <v>86</v>
      </c>
      <c r="AW100" s="10" t="s">
        <v>86</v>
      </c>
      <c r="AX100" s="11">
        <f>10*SUMPRODUCT(--(AN100:AW100&lt;&gt;""),--(((AN100:AW100=정답표!$C$8:$L$8)+(AN100:AW100=정답표!$C$9:$L$9))&gt;0))</f>
        <v>100</v>
      </c>
      <c r="AY100" s="10" t="s">
        <v>95</v>
      </c>
      <c r="AZ100" s="10" t="s">
        <v>96</v>
      </c>
      <c r="BA100" s="10" t="s">
        <v>97</v>
      </c>
      <c r="BB100" s="10" t="s">
        <v>98</v>
      </c>
      <c r="BC100" s="10" t="s">
        <v>99</v>
      </c>
      <c r="BD100" s="10" t="s">
        <v>100</v>
      </c>
      <c r="BE100" s="10" t="s">
        <v>101</v>
      </c>
      <c r="BF100" s="10" t="s">
        <v>86</v>
      </c>
      <c r="BG100" s="10" t="s">
        <v>86</v>
      </c>
      <c r="BH100" s="10" t="s">
        <v>102</v>
      </c>
      <c r="BI100" s="11">
        <f>10*SUMPRODUCT(--(AY100:BH100&lt;&gt;""),--(((AY100:BH100=정답표!$C$10:$L$10)+(AY100:BH100=정답표!$C$11:$L$11))&gt;0))</f>
        <v>100</v>
      </c>
      <c r="BJ100" s="11">
        <f t="shared" si="13"/>
        <v>500</v>
      </c>
      <c r="BK100" s="12">
        <f t="shared" si="14"/>
        <v>5</v>
      </c>
      <c r="BL100" s="28">
        <f>IF(QuizMatchTable[[#This Row],[분반]]=1, QuizMatchTable[[#This Row],[퀴즈합계]]/4 *0.3, QuizMatchTable[[#This Row],[퀴즈합계]]/5*0.3)</f>
        <v>30</v>
      </c>
      <c r="BM100" s="28">
        <v>30</v>
      </c>
      <c r="BN100" s="28">
        <v>1.2</v>
      </c>
      <c r="BO100" s="13"/>
      <c r="BP100" s="28">
        <f>SUM(QuizMatchTable[[#This Row],[퀴즈점수(30)]],BM100,BN100,BO100)</f>
        <v>61.2</v>
      </c>
      <c r="BQ100" s="13">
        <f t="shared" si="15"/>
        <v>19</v>
      </c>
      <c r="BR100" s="33" t="s">
        <v>657</v>
      </c>
      <c r="BS100" s="13">
        <v>0</v>
      </c>
      <c r="BT100" s="13"/>
    </row>
    <row r="101" spans="1:72" x14ac:dyDescent="0.3">
      <c r="A101" s="30" t="s">
        <v>64</v>
      </c>
      <c r="B101" s="8">
        <v>4</v>
      </c>
      <c r="C101" s="8">
        <v>20230489</v>
      </c>
      <c r="D101" s="9" t="s">
        <v>556</v>
      </c>
      <c r="E101" s="8" t="s">
        <v>557</v>
      </c>
      <c r="F101" s="9" t="s">
        <v>558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1"/>
      <c r="R101" s="10" t="s">
        <v>78</v>
      </c>
      <c r="S101" s="10" t="s">
        <v>79</v>
      </c>
      <c r="T101" s="10" t="s">
        <v>80</v>
      </c>
      <c r="U101" s="10" t="s">
        <v>81</v>
      </c>
      <c r="V101" s="10" t="s">
        <v>82</v>
      </c>
      <c r="W101" s="10" t="s">
        <v>83</v>
      </c>
      <c r="X101" s="10" t="s">
        <v>84</v>
      </c>
      <c r="Y101" s="10" t="s">
        <v>85</v>
      </c>
      <c r="Z101" s="10" t="s">
        <v>86</v>
      </c>
      <c r="AA101" s="10" t="s">
        <v>86</v>
      </c>
      <c r="AB101" s="11">
        <f>10*SUMPRODUCT(--(R101:AA101&lt;&gt;""),--(((R101:AA101=정답표!$C$4:$L$4)+(R101:AA101=정답표!$C$5:$L$5))&gt;0))</f>
        <v>100</v>
      </c>
      <c r="AC101" s="10" t="s">
        <v>87</v>
      </c>
      <c r="AD101" s="10" t="s">
        <v>88</v>
      </c>
      <c r="AE101" s="10" t="s">
        <v>89</v>
      </c>
      <c r="AF101" s="10" t="s">
        <v>90</v>
      </c>
      <c r="AG101" s="10" t="s">
        <v>91</v>
      </c>
      <c r="AH101" s="10" t="s">
        <v>92</v>
      </c>
      <c r="AI101" s="10" t="s">
        <v>93</v>
      </c>
      <c r="AJ101" s="10" t="s">
        <v>94</v>
      </c>
      <c r="AK101" s="10" t="s">
        <v>86</v>
      </c>
      <c r="AL101" s="10" t="s">
        <v>86</v>
      </c>
      <c r="AM101" s="11">
        <f>10*SUMPRODUCT(--(AC101:AL101&lt;&gt;""),--(((AC101:AL101=정답표!$C$6:$L$6)+(AC101:AL101=정답표!$C$7:$L$7))&gt;0))</f>
        <v>100</v>
      </c>
      <c r="AN101" s="10" t="s">
        <v>559</v>
      </c>
      <c r="AO101" s="10" t="s">
        <v>560</v>
      </c>
      <c r="AP101" s="10" t="s">
        <v>561</v>
      </c>
      <c r="AQ101" s="10" t="s">
        <v>562</v>
      </c>
      <c r="AR101" s="10" t="s">
        <v>563</v>
      </c>
      <c r="AS101" s="10" t="s">
        <v>564</v>
      </c>
      <c r="AT101" s="10" t="s">
        <v>565</v>
      </c>
      <c r="AU101" s="10" t="s">
        <v>566</v>
      </c>
      <c r="AV101" s="10" t="s">
        <v>86</v>
      </c>
      <c r="AW101" s="10" t="s">
        <v>86</v>
      </c>
      <c r="AX101" s="11">
        <f>10*SUMPRODUCT(--(AN101:AW101&lt;&gt;""),--(((AN101:AW101=정답표!$C$8:$L$8)+(AN101:AW101=정답표!$C$9:$L$9))&gt;0))</f>
        <v>100</v>
      </c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1"/>
      <c r="BJ101" s="11">
        <f t="shared" si="13"/>
        <v>300</v>
      </c>
      <c r="BK101" s="12">
        <f t="shared" si="14"/>
        <v>3</v>
      </c>
      <c r="BL101" s="28">
        <f>IF(QuizMatchTable[[#This Row],[분반]]=1, QuizMatchTable[[#This Row],[퀴즈합계]]/4 *0.3, QuizMatchTable[[#This Row],[퀴즈합계]]/5*0.3)</f>
        <v>18</v>
      </c>
      <c r="BM101" s="28">
        <v>26</v>
      </c>
      <c r="BN101" s="28">
        <v>20</v>
      </c>
      <c r="BO101" s="13"/>
      <c r="BP101" s="28">
        <f>SUM(QuizMatchTable[[#This Row],[퀴즈점수(30)]],BM101,BN101,BO101)</f>
        <v>64</v>
      </c>
      <c r="BQ101" s="13">
        <f t="shared" si="15"/>
        <v>15</v>
      </c>
      <c r="BR101" s="33" t="s">
        <v>657</v>
      </c>
      <c r="BS101" s="13">
        <v>6</v>
      </c>
      <c r="BT101" s="13"/>
    </row>
    <row r="102" spans="1:72" x14ac:dyDescent="0.3">
      <c r="A102" s="30" t="s">
        <v>64</v>
      </c>
      <c r="B102" s="8">
        <v>4</v>
      </c>
      <c r="C102" s="8">
        <v>20230490</v>
      </c>
      <c r="D102" s="9" t="s">
        <v>573</v>
      </c>
      <c r="E102" s="8" t="s">
        <v>574</v>
      </c>
      <c r="F102" s="9" t="s">
        <v>575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1"/>
      <c r="R102" s="10" t="s">
        <v>78</v>
      </c>
      <c r="S102" s="10" t="s">
        <v>79</v>
      </c>
      <c r="T102" s="10" t="s">
        <v>80</v>
      </c>
      <c r="U102" s="10" t="s">
        <v>81</v>
      </c>
      <c r="V102" s="10" t="s">
        <v>82</v>
      </c>
      <c r="W102" s="10" t="s">
        <v>83</v>
      </c>
      <c r="X102" s="10" t="s">
        <v>84</v>
      </c>
      <c r="Y102" s="10" t="s">
        <v>85</v>
      </c>
      <c r="Z102" s="10" t="s">
        <v>86</v>
      </c>
      <c r="AA102" s="10" t="s">
        <v>86</v>
      </c>
      <c r="AB102" s="11">
        <f>10*SUMPRODUCT(--(R102:AA102&lt;&gt;""),--(((R102:AA102=정답표!$C$4:$L$4)+(R102:AA102=정답표!$C$5:$L$5))&gt;0))</f>
        <v>100</v>
      </c>
      <c r="AC102" s="10" t="s">
        <v>87</v>
      </c>
      <c r="AD102" s="10" t="s">
        <v>88</v>
      </c>
      <c r="AE102" s="10" t="s">
        <v>89</v>
      </c>
      <c r="AF102" s="10" t="s">
        <v>90</v>
      </c>
      <c r="AG102" s="10" t="s">
        <v>91</v>
      </c>
      <c r="AH102" s="10" t="s">
        <v>92</v>
      </c>
      <c r="AI102" s="10" t="s">
        <v>418</v>
      </c>
      <c r="AJ102" s="10" t="s">
        <v>94</v>
      </c>
      <c r="AK102" s="10" t="s">
        <v>86</v>
      </c>
      <c r="AL102" s="10" t="s">
        <v>86</v>
      </c>
      <c r="AM102" s="11">
        <f>10*SUMPRODUCT(--(AC102:AL102&lt;&gt;""),--(((AC102:AL102=정답표!$C$6:$L$6)+(AC102:AL102=정답표!$C$7:$L$7))&gt;0))</f>
        <v>90</v>
      </c>
      <c r="AN102" s="10" t="s">
        <v>243</v>
      </c>
      <c r="AO102" s="10" t="s">
        <v>244</v>
      </c>
      <c r="AP102" s="10" t="s">
        <v>245</v>
      </c>
      <c r="AQ102" s="10" t="s">
        <v>246</v>
      </c>
      <c r="AR102" s="10" t="s">
        <v>247</v>
      </c>
      <c r="AS102" s="10" t="s">
        <v>248</v>
      </c>
      <c r="AT102" s="10" t="s">
        <v>249</v>
      </c>
      <c r="AU102" s="10" t="s">
        <v>250</v>
      </c>
      <c r="AV102" s="10" t="s">
        <v>86</v>
      </c>
      <c r="AW102" s="10" t="s">
        <v>86</v>
      </c>
      <c r="AX102" s="11">
        <f>10*SUMPRODUCT(--(AN102:AW102&lt;&gt;""),--(((AN102:AW102=정답표!$C$8:$L$8)+(AN102:AW102=정답표!$C$9:$L$9))&gt;0))</f>
        <v>100</v>
      </c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1"/>
      <c r="BJ102" s="11">
        <f t="shared" si="13"/>
        <v>290</v>
      </c>
      <c r="BK102" s="12">
        <f t="shared" si="14"/>
        <v>3</v>
      </c>
      <c r="BL102" s="28">
        <f>IF(QuizMatchTable[[#This Row],[분반]]=1, QuizMatchTable[[#This Row],[퀴즈합계]]/4 *0.3, QuizMatchTable[[#This Row],[퀴즈합계]]/5*0.3)</f>
        <v>17.399999999999999</v>
      </c>
      <c r="BM102" s="28">
        <v>28</v>
      </c>
      <c r="BN102" s="28">
        <v>19.600000000000001</v>
      </c>
      <c r="BO102" s="13"/>
      <c r="BP102" s="28">
        <f>SUM(QuizMatchTable[[#This Row],[퀴즈점수(30)]],BM102,BN102,BO102)</f>
        <v>65</v>
      </c>
      <c r="BQ102" s="13">
        <f t="shared" si="15"/>
        <v>14</v>
      </c>
      <c r="BR102" s="33" t="s">
        <v>657</v>
      </c>
      <c r="BS102" s="13">
        <v>3</v>
      </c>
      <c r="BT102" s="13"/>
    </row>
    <row r="103" spans="1:72" x14ac:dyDescent="0.3">
      <c r="A103" s="30" t="s">
        <v>64</v>
      </c>
      <c r="B103" s="8">
        <v>4</v>
      </c>
      <c r="C103" s="8">
        <v>20230491</v>
      </c>
      <c r="D103" s="9" t="s">
        <v>567</v>
      </c>
      <c r="E103" s="8" t="s">
        <v>568</v>
      </c>
      <c r="F103" s="9" t="s">
        <v>569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1"/>
      <c r="R103" s="10" t="s">
        <v>78</v>
      </c>
      <c r="S103" s="10" t="s">
        <v>79</v>
      </c>
      <c r="T103" s="10" t="s">
        <v>80</v>
      </c>
      <c r="U103" s="10" t="s">
        <v>81</v>
      </c>
      <c r="V103" s="10" t="s">
        <v>82</v>
      </c>
      <c r="W103" s="10" t="s">
        <v>83</v>
      </c>
      <c r="X103" s="10" t="s">
        <v>84</v>
      </c>
      <c r="Y103" s="10" t="s">
        <v>85</v>
      </c>
      <c r="Z103" s="10" t="s">
        <v>86</v>
      </c>
      <c r="AA103" s="10" t="s">
        <v>86</v>
      </c>
      <c r="AB103" s="11">
        <f>10*SUMPRODUCT(--(R103:AA103&lt;&gt;""),--(((R103:AA103=정답표!$C$4:$L$4)+(R103:AA103=정답표!$C$5:$L$5))&gt;0))</f>
        <v>100</v>
      </c>
      <c r="AC103" s="10" t="s">
        <v>87</v>
      </c>
      <c r="AD103" s="10" t="s">
        <v>88</v>
      </c>
      <c r="AE103" s="10" t="s">
        <v>89</v>
      </c>
      <c r="AF103" s="10" t="s">
        <v>90</v>
      </c>
      <c r="AG103" s="10" t="s">
        <v>91</v>
      </c>
      <c r="AH103" s="10" t="s">
        <v>92</v>
      </c>
      <c r="AI103" s="10" t="s">
        <v>93</v>
      </c>
      <c r="AJ103" s="10" t="s">
        <v>94</v>
      </c>
      <c r="AK103" s="10" t="s">
        <v>86</v>
      </c>
      <c r="AL103" s="10" t="s">
        <v>86</v>
      </c>
      <c r="AM103" s="11">
        <f>10*SUMPRODUCT(--(AC103:AL103&lt;&gt;""),--(((AC103:AL103=정답표!$C$6:$L$6)+(AC103:AL103=정답표!$C$7:$L$7))&gt;0))</f>
        <v>100</v>
      </c>
      <c r="AN103" s="10" t="s">
        <v>243</v>
      </c>
      <c r="AO103" s="10" t="s">
        <v>244</v>
      </c>
      <c r="AP103" s="10" t="s">
        <v>245</v>
      </c>
      <c r="AQ103" s="10" t="s">
        <v>246</v>
      </c>
      <c r="AR103" s="10" t="s">
        <v>247</v>
      </c>
      <c r="AS103" s="10" t="s">
        <v>248</v>
      </c>
      <c r="AT103" s="10" t="s">
        <v>249</v>
      </c>
      <c r="AU103" s="10" t="s">
        <v>250</v>
      </c>
      <c r="AV103" s="10" t="s">
        <v>86</v>
      </c>
      <c r="AW103" s="10" t="s">
        <v>86</v>
      </c>
      <c r="AX103" s="11">
        <f>10*SUMPRODUCT(--(AN103:AW103&lt;&gt;""),--(((AN103:AW103=정답표!$C$8:$L$8)+(AN103:AW103=정답표!$C$9:$L$9))&gt;0))</f>
        <v>100</v>
      </c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1"/>
      <c r="BJ103" s="11">
        <f t="shared" si="13"/>
        <v>300</v>
      </c>
      <c r="BK103" s="12">
        <f t="shared" si="14"/>
        <v>3</v>
      </c>
      <c r="BL103" s="28">
        <f>IF(QuizMatchTable[[#This Row],[분반]]=1, QuizMatchTable[[#This Row],[퀴즈합계]]/4 *0.3, QuizMatchTable[[#This Row],[퀴즈합계]]/5*0.3)</f>
        <v>18</v>
      </c>
      <c r="BM103" s="28">
        <v>26</v>
      </c>
      <c r="BN103" s="28">
        <v>18.8</v>
      </c>
      <c r="BO103" s="13"/>
      <c r="BP103" s="28">
        <f>SUM(QuizMatchTable[[#This Row],[퀴즈점수(30)]],BM103,BN103,BO103)</f>
        <v>62.8</v>
      </c>
      <c r="BQ103" s="13">
        <f t="shared" si="15"/>
        <v>17</v>
      </c>
      <c r="BR103" s="33" t="s">
        <v>657</v>
      </c>
      <c r="BS103" s="13">
        <v>6</v>
      </c>
      <c r="BT103" s="13"/>
    </row>
    <row r="104" spans="1:72" x14ac:dyDescent="0.3">
      <c r="A104" s="30" t="s">
        <v>64</v>
      </c>
      <c r="B104" s="8">
        <v>4</v>
      </c>
      <c r="C104" s="8">
        <v>20230492</v>
      </c>
      <c r="D104" s="9" t="s">
        <v>538</v>
      </c>
      <c r="E104" s="8" t="s">
        <v>539</v>
      </c>
      <c r="F104" s="9" t="s">
        <v>540</v>
      </c>
      <c r="G104" s="10" t="s">
        <v>68</v>
      </c>
      <c r="H104" s="10" t="s">
        <v>69</v>
      </c>
      <c r="I104" s="10" t="s">
        <v>70</v>
      </c>
      <c r="J104" s="10" t="s">
        <v>71</v>
      </c>
      <c r="K104" s="10" t="s">
        <v>72</v>
      </c>
      <c r="L104" s="10" t="s">
        <v>73</v>
      </c>
      <c r="M104" s="10" t="s">
        <v>74</v>
      </c>
      <c r="N104" s="10" t="s">
        <v>75</v>
      </c>
      <c r="O104" s="10" t="s">
        <v>76</v>
      </c>
      <c r="P104" s="10" t="s">
        <v>77</v>
      </c>
      <c r="Q104" s="11">
        <f>10*SUMPRODUCT(--(G104:P104&lt;&gt;""),--(((G104:P104=정답표!$C$2:$L$2)+(G104:P104=정답표!$C$3:$L$3))&gt;0))</f>
        <v>100</v>
      </c>
      <c r="R104" s="10" t="s">
        <v>78</v>
      </c>
      <c r="S104" s="10" t="s">
        <v>502</v>
      </c>
      <c r="T104" s="10" t="s">
        <v>80</v>
      </c>
      <c r="U104" s="10" t="s">
        <v>81</v>
      </c>
      <c r="V104" s="10" t="s">
        <v>82</v>
      </c>
      <c r="W104" s="10" t="s">
        <v>83</v>
      </c>
      <c r="X104" s="10" t="s">
        <v>84</v>
      </c>
      <c r="Y104" s="10" t="s">
        <v>85</v>
      </c>
      <c r="Z104" s="10" t="s">
        <v>86</v>
      </c>
      <c r="AA104" s="10" t="s">
        <v>86</v>
      </c>
      <c r="AB104" s="11">
        <f>10*SUMPRODUCT(--(R104:AA104&lt;&gt;""),--(((R104:AA104=정답표!$C$4:$L$4)+(R104:AA104=정답표!$C$5:$L$5))&gt;0))</f>
        <v>90</v>
      </c>
      <c r="AC104" s="10" t="s">
        <v>87</v>
      </c>
      <c r="AD104" s="10" t="s">
        <v>88</v>
      </c>
      <c r="AE104" s="10" t="s">
        <v>89</v>
      </c>
      <c r="AF104" s="10" t="s">
        <v>90</v>
      </c>
      <c r="AG104" s="10" t="s">
        <v>91</v>
      </c>
      <c r="AH104" s="10" t="s">
        <v>92</v>
      </c>
      <c r="AI104" s="10" t="s">
        <v>93</v>
      </c>
      <c r="AJ104" s="10" t="s">
        <v>313</v>
      </c>
      <c r="AK104" s="10" t="s">
        <v>86</v>
      </c>
      <c r="AL104" s="10" t="s">
        <v>86</v>
      </c>
      <c r="AM104" s="11">
        <f>10*SUMPRODUCT(--(AC104:AL104&lt;&gt;""),--(((AC104:AL104=정답표!$C$6:$L$6)+(AC104:AL104=정답표!$C$7:$L$7))&gt;0))</f>
        <v>90</v>
      </c>
      <c r="AN104" s="10" t="s">
        <v>243</v>
      </c>
      <c r="AO104" s="10" t="s">
        <v>244</v>
      </c>
      <c r="AP104" s="10" t="s">
        <v>245</v>
      </c>
      <c r="AQ104" s="10" t="s">
        <v>246</v>
      </c>
      <c r="AR104" s="10" t="s">
        <v>247</v>
      </c>
      <c r="AS104" s="10" t="s">
        <v>248</v>
      </c>
      <c r="AT104" s="10" t="s">
        <v>249</v>
      </c>
      <c r="AU104" s="10" t="s">
        <v>250</v>
      </c>
      <c r="AV104" s="10" t="s">
        <v>86</v>
      </c>
      <c r="AW104" s="10" t="s">
        <v>86</v>
      </c>
      <c r="AX104" s="11">
        <f>10*SUMPRODUCT(--(AN104:AW104&lt;&gt;""),--(((AN104:AW104=정답표!$C$8:$L$8)+(AN104:AW104=정답표!$C$9:$L$9))&gt;0))</f>
        <v>100</v>
      </c>
      <c r="AY104" s="10" t="s">
        <v>95</v>
      </c>
      <c r="AZ104" s="10" t="s">
        <v>96</v>
      </c>
      <c r="BA104" s="10" t="s">
        <v>97</v>
      </c>
      <c r="BB104" s="10" t="s">
        <v>98</v>
      </c>
      <c r="BC104" s="10" t="s">
        <v>99</v>
      </c>
      <c r="BD104" s="10" t="s">
        <v>100</v>
      </c>
      <c r="BE104" s="10" t="s">
        <v>101</v>
      </c>
      <c r="BF104" s="10" t="s">
        <v>86</v>
      </c>
      <c r="BG104" s="10" t="s">
        <v>86</v>
      </c>
      <c r="BH104" s="10" t="s">
        <v>102</v>
      </c>
      <c r="BI104" s="11">
        <f>10*SUMPRODUCT(--(AY104:BH104&lt;&gt;""),--(((AY104:BH104=정답표!$C$10:$L$10)+(AY104:BH104=정답표!$C$11:$L$11))&gt;0))</f>
        <v>100</v>
      </c>
      <c r="BJ104" s="11">
        <f t="shared" si="13"/>
        <v>480</v>
      </c>
      <c r="BK104" s="12">
        <f t="shared" si="14"/>
        <v>5</v>
      </c>
      <c r="BL104" s="28">
        <f>IF(QuizMatchTable[[#This Row],[분반]]=1, QuizMatchTable[[#This Row],[퀴즈합계]]/4 *0.3, QuizMatchTable[[#This Row],[퀴즈합계]]/5*0.3)</f>
        <v>28.799999999999997</v>
      </c>
      <c r="BM104" s="28">
        <v>30</v>
      </c>
      <c r="BN104" s="28">
        <v>19.2</v>
      </c>
      <c r="BO104" s="13"/>
      <c r="BP104" s="28">
        <f>SUM(QuizMatchTable[[#This Row],[퀴즈점수(30)]],BM104,BN104,BO104)</f>
        <v>78</v>
      </c>
      <c r="BQ104" s="13">
        <f t="shared" si="15"/>
        <v>6</v>
      </c>
      <c r="BR104" s="33" t="s">
        <v>655</v>
      </c>
      <c r="BS104" s="13">
        <v>0</v>
      </c>
      <c r="BT104" s="13"/>
    </row>
    <row r="105" spans="1:72" x14ac:dyDescent="0.3">
      <c r="A105" s="30" t="s">
        <v>64</v>
      </c>
      <c r="B105" s="8">
        <v>4</v>
      </c>
      <c r="C105" s="8">
        <v>20230493</v>
      </c>
      <c r="D105" s="9" t="s">
        <v>550</v>
      </c>
      <c r="E105" s="8" t="s">
        <v>551</v>
      </c>
      <c r="F105" s="9" t="s">
        <v>552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1"/>
      <c r="R105" s="10" t="s">
        <v>78</v>
      </c>
      <c r="S105" s="10" t="s">
        <v>79</v>
      </c>
      <c r="T105" s="10" t="s">
        <v>80</v>
      </c>
      <c r="U105" s="10" t="s">
        <v>81</v>
      </c>
      <c r="V105" s="10" t="s">
        <v>82</v>
      </c>
      <c r="W105" s="10" t="s">
        <v>83</v>
      </c>
      <c r="X105" s="10" t="s">
        <v>84</v>
      </c>
      <c r="Y105" s="10" t="s">
        <v>85</v>
      </c>
      <c r="Z105" s="10" t="s">
        <v>86</v>
      </c>
      <c r="AA105" s="10" t="s">
        <v>86</v>
      </c>
      <c r="AB105" s="11">
        <f>10*SUMPRODUCT(--(R105:AA105&lt;&gt;""),--(((R105:AA105=정답표!$C$4:$L$4)+(R105:AA105=정답표!$C$5:$L$5))&gt;0))</f>
        <v>100</v>
      </c>
      <c r="AC105" s="10" t="s">
        <v>284</v>
      </c>
      <c r="AD105" s="10" t="s">
        <v>88</v>
      </c>
      <c r="AE105" s="10" t="s">
        <v>89</v>
      </c>
      <c r="AF105" s="10" t="s">
        <v>90</v>
      </c>
      <c r="AG105" s="10" t="s">
        <v>91</v>
      </c>
      <c r="AH105" s="10" t="s">
        <v>92</v>
      </c>
      <c r="AI105" s="10" t="s">
        <v>93</v>
      </c>
      <c r="AJ105" s="10" t="s">
        <v>94</v>
      </c>
      <c r="AK105" s="10" t="s">
        <v>86</v>
      </c>
      <c r="AL105" s="10" t="s">
        <v>86</v>
      </c>
      <c r="AM105" s="11">
        <f>10*SUMPRODUCT(--(AC105:AL105&lt;&gt;""),--(((AC105:AL105=정답표!$C$6:$L$6)+(AC105:AL105=정답표!$C$7:$L$7))&gt;0))</f>
        <v>90</v>
      </c>
      <c r="AN105" s="10" t="s">
        <v>243</v>
      </c>
      <c r="AO105" s="10" t="s">
        <v>244</v>
      </c>
      <c r="AP105" s="10" t="s">
        <v>245</v>
      </c>
      <c r="AQ105" s="10" t="s">
        <v>246</v>
      </c>
      <c r="AR105" s="10" t="s">
        <v>247</v>
      </c>
      <c r="AS105" s="10" t="s">
        <v>248</v>
      </c>
      <c r="AT105" s="10" t="s">
        <v>249</v>
      </c>
      <c r="AU105" s="10" t="s">
        <v>250</v>
      </c>
      <c r="AV105" s="10" t="s">
        <v>86</v>
      </c>
      <c r="AW105" s="10" t="s">
        <v>86</v>
      </c>
      <c r="AX105" s="11">
        <f>10*SUMPRODUCT(--(AN105:AW105&lt;&gt;""),--(((AN105:AW105=정답표!$C$8:$L$8)+(AN105:AW105=정답표!$C$9:$L$9))&gt;0))</f>
        <v>100</v>
      </c>
      <c r="AY105" s="10" t="s">
        <v>95</v>
      </c>
      <c r="AZ105" s="10" t="s">
        <v>96</v>
      </c>
      <c r="BA105" s="10" t="s">
        <v>97</v>
      </c>
      <c r="BB105" s="10" t="s">
        <v>98</v>
      </c>
      <c r="BC105" s="10" t="s">
        <v>99</v>
      </c>
      <c r="BD105" s="10" t="s">
        <v>100</v>
      </c>
      <c r="BE105" s="10" t="s">
        <v>101</v>
      </c>
      <c r="BF105" s="10" t="s">
        <v>86</v>
      </c>
      <c r="BG105" s="10" t="s">
        <v>86</v>
      </c>
      <c r="BH105" s="10" t="s">
        <v>102</v>
      </c>
      <c r="BI105" s="11">
        <f>10*SUMPRODUCT(--(AY105:BH105&lt;&gt;""),--(((AY105:BH105=정답표!$C$10:$L$10)+(AY105:BH105=정답표!$C$11:$L$11))&gt;0))</f>
        <v>100</v>
      </c>
      <c r="BJ105" s="11">
        <f t="shared" si="13"/>
        <v>390</v>
      </c>
      <c r="BK105" s="12">
        <f t="shared" si="14"/>
        <v>4</v>
      </c>
      <c r="BL105" s="28">
        <f>IF(QuizMatchTable[[#This Row],[분반]]=1, QuizMatchTable[[#This Row],[퀴즈합계]]/4 *0.3, QuizMatchTable[[#This Row],[퀴즈합계]]/5*0.3)</f>
        <v>23.4</v>
      </c>
      <c r="BM105" s="28">
        <v>26</v>
      </c>
      <c r="BN105" s="28">
        <v>17.2</v>
      </c>
      <c r="BO105" s="13"/>
      <c r="BP105" s="28">
        <f>SUM(QuizMatchTable[[#This Row],[퀴즈점수(30)]],BM105,BN105,BO105)</f>
        <v>66.599999999999994</v>
      </c>
      <c r="BQ105" s="13">
        <f t="shared" si="15"/>
        <v>13</v>
      </c>
      <c r="BR105" s="33" t="s">
        <v>657</v>
      </c>
      <c r="BS105" s="13">
        <v>6</v>
      </c>
      <c r="BT105" s="13"/>
    </row>
    <row r="106" spans="1:72" x14ac:dyDescent="0.3">
      <c r="A106" s="30" t="s">
        <v>64</v>
      </c>
      <c r="B106" s="8">
        <v>4</v>
      </c>
      <c r="C106" s="8">
        <v>20230494</v>
      </c>
      <c r="D106" s="9" t="s">
        <v>514</v>
      </c>
      <c r="E106" s="8" t="s">
        <v>515</v>
      </c>
      <c r="F106" s="9" t="s">
        <v>516</v>
      </c>
      <c r="G106" s="10" t="s">
        <v>68</v>
      </c>
      <c r="H106" s="10" t="s">
        <v>69</v>
      </c>
      <c r="I106" s="10" t="s">
        <v>70</v>
      </c>
      <c r="J106" s="10" t="s">
        <v>71</v>
      </c>
      <c r="K106" s="10" t="s">
        <v>72</v>
      </c>
      <c r="L106" s="10" t="s">
        <v>73</v>
      </c>
      <c r="M106" s="10" t="s">
        <v>74</v>
      </c>
      <c r="N106" s="10" t="s">
        <v>75</v>
      </c>
      <c r="O106" s="10" t="s">
        <v>76</v>
      </c>
      <c r="P106" s="10" t="s">
        <v>77</v>
      </c>
      <c r="Q106" s="11">
        <f>10*SUMPRODUCT(--(G106:P106&lt;&gt;""),--(((G106:P106=정답표!$C$2:$L$2)+(G106:P106=정답표!$C$3:$L$3))&gt;0))</f>
        <v>100</v>
      </c>
      <c r="R106" s="10" t="s">
        <v>78</v>
      </c>
      <c r="S106" s="10" t="s">
        <v>79</v>
      </c>
      <c r="T106" s="10" t="s">
        <v>80</v>
      </c>
      <c r="U106" s="10" t="s">
        <v>81</v>
      </c>
      <c r="V106" s="10" t="s">
        <v>82</v>
      </c>
      <c r="W106" s="10" t="s">
        <v>83</v>
      </c>
      <c r="X106" s="10" t="s">
        <v>84</v>
      </c>
      <c r="Y106" s="10" t="s">
        <v>85</v>
      </c>
      <c r="Z106" s="10" t="s">
        <v>86</v>
      </c>
      <c r="AA106" s="10" t="s">
        <v>86</v>
      </c>
      <c r="AB106" s="11">
        <f>10*SUMPRODUCT(--(R106:AA106&lt;&gt;""),--(((R106:AA106=정답표!$C$4:$L$4)+(R106:AA106=정답표!$C$5:$L$5))&gt;0))</f>
        <v>100</v>
      </c>
      <c r="AC106" s="10" t="s">
        <v>87</v>
      </c>
      <c r="AD106" s="10" t="s">
        <v>88</v>
      </c>
      <c r="AE106" s="10" t="s">
        <v>89</v>
      </c>
      <c r="AF106" s="10" t="s">
        <v>90</v>
      </c>
      <c r="AG106" s="10" t="s">
        <v>91</v>
      </c>
      <c r="AH106" s="10" t="s">
        <v>92</v>
      </c>
      <c r="AI106" s="10" t="s">
        <v>93</v>
      </c>
      <c r="AJ106" s="10" t="s">
        <v>94</v>
      </c>
      <c r="AK106" s="10" t="s">
        <v>86</v>
      </c>
      <c r="AL106" s="10" t="s">
        <v>86</v>
      </c>
      <c r="AM106" s="11">
        <f>10*SUMPRODUCT(--(AC106:AL106&lt;&gt;""),--(((AC106:AL106=정답표!$C$6:$L$6)+(AC106:AL106=정답표!$C$7:$L$7))&gt;0))</f>
        <v>100</v>
      </c>
      <c r="AN106" s="10" t="s">
        <v>243</v>
      </c>
      <c r="AO106" s="10" t="s">
        <v>244</v>
      </c>
      <c r="AP106" s="10" t="s">
        <v>245</v>
      </c>
      <c r="AQ106" s="10" t="s">
        <v>246</v>
      </c>
      <c r="AR106" s="10" t="s">
        <v>247</v>
      </c>
      <c r="AS106" s="10" t="s">
        <v>248</v>
      </c>
      <c r="AT106" s="10" t="s">
        <v>249</v>
      </c>
      <c r="AU106" s="10" t="s">
        <v>250</v>
      </c>
      <c r="AV106" s="10" t="s">
        <v>86</v>
      </c>
      <c r="AW106" s="10" t="s">
        <v>86</v>
      </c>
      <c r="AX106" s="11">
        <f>10*SUMPRODUCT(--(AN106:AW106&lt;&gt;""),--(((AN106:AW106=정답표!$C$8:$L$8)+(AN106:AW106=정답표!$C$9:$L$9))&gt;0))</f>
        <v>100</v>
      </c>
      <c r="AY106" s="10" t="s">
        <v>95</v>
      </c>
      <c r="AZ106" s="10" t="s">
        <v>96</v>
      </c>
      <c r="BA106" s="10" t="s">
        <v>97</v>
      </c>
      <c r="BB106" s="10" t="s">
        <v>98</v>
      </c>
      <c r="BC106" s="10" t="s">
        <v>99</v>
      </c>
      <c r="BD106" s="10" t="s">
        <v>100</v>
      </c>
      <c r="BE106" s="10" t="s">
        <v>101</v>
      </c>
      <c r="BF106" s="10" t="s">
        <v>86</v>
      </c>
      <c r="BG106" s="10" t="s">
        <v>86</v>
      </c>
      <c r="BH106" s="10" t="s">
        <v>102</v>
      </c>
      <c r="BI106" s="11">
        <f>10*SUMPRODUCT(--(AY106:BH106&lt;&gt;""),--(((AY106:BH106=정답표!$C$10:$L$10)+(AY106:BH106=정답표!$C$11:$L$11))&gt;0))</f>
        <v>100</v>
      </c>
      <c r="BJ106" s="11">
        <f t="shared" si="13"/>
        <v>500</v>
      </c>
      <c r="BK106" s="12">
        <f t="shared" si="14"/>
        <v>5</v>
      </c>
      <c r="BL106" s="28">
        <f>IF(QuizMatchTable[[#This Row],[분반]]=1, QuizMatchTable[[#This Row],[퀴즈합계]]/4 *0.3, QuizMatchTable[[#This Row],[퀴즈합계]]/5*0.3)</f>
        <v>30</v>
      </c>
      <c r="BM106" s="28">
        <v>30</v>
      </c>
      <c r="BN106" s="28">
        <v>20</v>
      </c>
      <c r="BO106" s="13"/>
      <c r="BP106" s="28">
        <f>SUM(QuizMatchTable[[#This Row],[퀴즈점수(30)]],BM106,BN106,BO106)</f>
        <v>80</v>
      </c>
      <c r="BQ106" s="13">
        <f t="shared" si="15"/>
        <v>1</v>
      </c>
      <c r="BR106" s="33" t="s">
        <v>653</v>
      </c>
      <c r="BS106" s="13">
        <v>0</v>
      </c>
      <c r="BT106" s="13"/>
    </row>
    <row r="107" spans="1:72" x14ac:dyDescent="0.3">
      <c r="A107" s="30" t="s">
        <v>64</v>
      </c>
      <c r="B107" s="8">
        <v>4</v>
      </c>
      <c r="C107" s="8">
        <v>20230495</v>
      </c>
      <c r="D107" s="9" t="s">
        <v>517</v>
      </c>
      <c r="E107" s="8" t="s">
        <v>518</v>
      </c>
      <c r="F107" s="9" t="s">
        <v>519</v>
      </c>
      <c r="G107" s="10" t="s">
        <v>68</v>
      </c>
      <c r="H107" s="10" t="s">
        <v>69</v>
      </c>
      <c r="I107" s="10" t="s">
        <v>70</v>
      </c>
      <c r="J107" s="10" t="s">
        <v>71</v>
      </c>
      <c r="K107" s="10" t="s">
        <v>72</v>
      </c>
      <c r="L107" s="10" t="s">
        <v>73</v>
      </c>
      <c r="M107" s="10" t="s">
        <v>74</v>
      </c>
      <c r="N107" s="10" t="s">
        <v>75</v>
      </c>
      <c r="O107" s="10" t="s">
        <v>76</v>
      </c>
      <c r="P107" s="10" t="s">
        <v>77</v>
      </c>
      <c r="Q107" s="11">
        <f>10*SUMPRODUCT(--(G107:P107&lt;&gt;""),--(((G107:P107=정답표!$C$2:$L$2)+(G107:P107=정답표!$C$3:$L$3))&gt;0))</f>
        <v>100</v>
      </c>
      <c r="R107" s="10" t="s">
        <v>78</v>
      </c>
      <c r="S107" s="10" t="s">
        <v>79</v>
      </c>
      <c r="T107" s="10" t="s">
        <v>80</v>
      </c>
      <c r="U107" s="10" t="s">
        <v>81</v>
      </c>
      <c r="V107" s="10" t="s">
        <v>82</v>
      </c>
      <c r="W107" s="10" t="s">
        <v>83</v>
      </c>
      <c r="X107" s="10" t="s">
        <v>84</v>
      </c>
      <c r="Y107" s="10" t="s">
        <v>85</v>
      </c>
      <c r="Z107" s="10" t="s">
        <v>86</v>
      </c>
      <c r="AA107" s="10" t="s">
        <v>86</v>
      </c>
      <c r="AB107" s="11">
        <f>10*SUMPRODUCT(--(R107:AA107&lt;&gt;""),--(((R107:AA107=정답표!$C$4:$L$4)+(R107:AA107=정답표!$C$5:$L$5))&gt;0))</f>
        <v>100</v>
      </c>
      <c r="AC107" s="10" t="s">
        <v>87</v>
      </c>
      <c r="AD107" s="10" t="s">
        <v>88</v>
      </c>
      <c r="AE107" s="10" t="s">
        <v>89</v>
      </c>
      <c r="AF107" s="10" t="s">
        <v>90</v>
      </c>
      <c r="AG107" s="10" t="s">
        <v>91</v>
      </c>
      <c r="AH107" s="10" t="s">
        <v>92</v>
      </c>
      <c r="AI107" s="10" t="s">
        <v>93</v>
      </c>
      <c r="AJ107" s="10" t="s">
        <v>94</v>
      </c>
      <c r="AK107" s="10" t="s">
        <v>86</v>
      </c>
      <c r="AL107" s="10" t="s">
        <v>86</v>
      </c>
      <c r="AM107" s="11">
        <f>10*SUMPRODUCT(--(AC107:AL107&lt;&gt;""),--(((AC107:AL107=정답표!$C$6:$L$6)+(AC107:AL107=정답표!$C$7:$L$7))&gt;0))</f>
        <v>100</v>
      </c>
      <c r="AN107" s="10" t="s">
        <v>243</v>
      </c>
      <c r="AO107" s="10" t="s">
        <v>244</v>
      </c>
      <c r="AP107" s="10" t="s">
        <v>245</v>
      </c>
      <c r="AQ107" s="10" t="s">
        <v>246</v>
      </c>
      <c r="AR107" s="10" t="s">
        <v>247</v>
      </c>
      <c r="AS107" s="10" t="s">
        <v>248</v>
      </c>
      <c r="AT107" s="10" t="s">
        <v>249</v>
      </c>
      <c r="AU107" s="10" t="s">
        <v>250</v>
      </c>
      <c r="AV107" s="10" t="s">
        <v>86</v>
      </c>
      <c r="AW107" s="10" t="s">
        <v>86</v>
      </c>
      <c r="AX107" s="11">
        <f>10*SUMPRODUCT(--(AN107:AW107&lt;&gt;""),--(((AN107:AW107=정답표!$C$8:$L$8)+(AN107:AW107=정답표!$C$9:$L$9))&gt;0))</f>
        <v>100</v>
      </c>
      <c r="AY107" s="10" t="s">
        <v>95</v>
      </c>
      <c r="AZ107" s="10" t="s">
        <v>96</v>
      </c>
      <c r="BA107" s="10" t="s">
        <v>97</v>
      </c>
      <c r="BB107" s="10" t="s">
        <v>98</v>
      </c>
      <c r="BC107" s="10" t="s">
        <v>99</v>
      </c>
      <c r="BD107" s="10" t="s">
        <v>100</v>
      </c>
      <c r="BE107" s="10" t="s">
        <v>101</v>
      </c>
      <c r="BF107" s="10" t="s">
        <v>86</v>
      </c>
      <c r="BG107" s="10" t="s">
        <v>86</v>
      </c>
      <c r="BH107" s="10" t="s">
        <v>102</v>
      </c>
      <c r="BI107" s="11">
        <f>10*SUMPRODUCT(--(AY107:BH107&lt;&gt;""),--(((AY107:BH107=정답표!$C$10:$L$10)+(AY107:BH107=정답표!$C$11:$L$11))&gt;0))</f>
        <v>100</v>
      </c>
      <c r="BJ107" s="11">
        <f t="shared" si="13"/>
        <v>500</v>
      </c>
      <c r="BK107" s="12">
        <f t="shared" si="14"/>
        <v>5</v>
      </c>
      <c r="BL107" s="28">
        <f>IF(QuizMatchTable[[#This Row],[분반]]=1, QuizMatchTable[[#This Row],[퀴즈합계]]/4 *0.3, QuizMatchTable[[#This Row],[퀴즈합계]]/5*0.3)</f>
        <v>30</v>
      </c>
      <c r="BM107" s="28">
        <v>30</v>
      </c>
      <c r="BN107" s="28">
        <v>19.2</v>
      </c>
      <c r="BO107" s="13"/>
      <c r="BP107" s="28">
        <f>SUM(QuizMatchTable[[#This Row],[퀴즈점수(30)]],BM107,BN107,BO107)</f>
        <v>79.2</v>
      </c>
      <c r="BQ107" s="13">
        <f t="shared" si="15"/>
        <v>3</v>
      </c>
      <c r="BR107" s="33" t="s">
        <v>653</v>
      </c>
      <c r="BS107" s="13">
        <v>0</v>
      </c>
      <c r="BT107" s="13"/>
    </row>
    <row r="108" spans="1:72" x14ac:dyDescent="0.3">
      <c r="A108" s="30" t="s">
        <v>64</v>
      </c>
      <c r="B108" s="8">
        <v>4</v>
      </c>
      <c r="C108" s="8">
        <v>20240811</v>
      </c>
      <c r="D108" s="9" t="s">
        <v>541</v>
      </c>
      <c r="E108" s="8" t="s">
        <v>542</v>
      </c>
      <c r="F108" s="9" t="s">
        <v>543</v>
      </c>
      <c r="G108" s="10" t="s">
        <v>269</v>
      </c>
      <c r="H108" s="10" t="s">
        <v>69</v>
      </c>
      <c r="I108" s="10" t="s">
        <v>70</v>
      </c>
      <c r="J108" s="10" t="s">
        <v>71</v>
      </c>
      <c r="K108" s="10" t="s">
        <v>474</v>
      </c>
      <c r="L108" s="10" t="s">
        <v>73</v>
      </c>
      <c r="M108" s="10" t="s">
        <v>74</v>
      </c>
      <c r="N108" s="10" t="s">
        <v>75</v>
      </c>
      <c r="O108" s="10" t="s">
        <v>76</v>
      </c>
      <c r="P108" s="10" t="s">
        <v>77</v>
      </c>
      <c r="Q108" s="11">
        <f>10*SUMPRODUCT(--(G108:P108&lt;&gt;""),--(((G108:P108=정답표!$C$2:$L$2)+(G108:P108=정답표!$C$3:$L$3))&gt;0))</f>
        <v>80</v>
      </c>
      <c r="R108" s="10" t="s">
        <v>78</v>
      </c>
      <c r="S108" s="10" t="s">
        <v>79</v>
      </c>
      <c r="T108" s="10" t="s">
        <v>80</v>
      </c>
      <c r="U108" s="10" t="s">
        <v>81</v>
      </c>
      <c r="V108" s="10" t="s">
        <v>82</v>
      </c>
      <c r="W108" s="10" t="s">
        <v>83</v>
      </c>
      <c r="X108" s="10" t="s">
        <v>84</v>
      </c>
      <c r="Y108" s="10" t="s">
        <v>85</v>
      </c>
      <c r="Z108" s="10" t="s">
        <v>86</v>
      </c>
      <c r="AA108" s="10" t="s">
        <v>86</v>
      </c>
      <c r="AB108" s="11">
        <f>10*SUMPRODUCT(--(R108:AA108&lt;&gt;""),--(((R108:AA108=정답표!$C$4:$L$4)+(R108:AA108=정답표!$C$5:$L$5))&gt;0))</f>
        <v>100</v>
      </c>
      <c r="AC108" s="10" t="s">
        <v>87</v>
      </c>
      <c r="AD108" s="10" t="s">
        <v>88</v>
      </c>
      <c r="AE108" s="10" t="s">
        <v>89</v>
      </c>
      <c r="AF108" s="10" t="s">
        <v>90</v>
      </c>
      <c r="AG108" s="10" t="s">
        <v>91</v>
      </c>
      <c r="AH108" s="10" t="s">
        <v>92</v>
      </c>
      <c r="AI108" s="10" t="s">
        <v>93</v>
      </c>
      <c r="AJ108" s="10" t="s">
        <v>94</v>
      </c>
      <c r="AK108" s="10" t="s">
        <v>86</v>
      </c>
      <c r="AL108" s="10" t="s">
        <v>86</v>
      </c>
      <c r="AM108" s="11">
        <f>10*SUMPRODUCT(--(AC108:AL108&lt;&gt;""),--(((AC108:AL108=정답표!$C$6:$L$6)+(AC108:AL108=정답표!$C$7:$L$7))&gt;0))</f>
        <v>100</v>
      </c>
      <c r="AN108" s="10" t="s">
        <v>243</v>
      </c>
      <c r="AO108" s="10" t="s">
        <v>244</v>
      </c>
      <c r="AP108" s="10" t="s">
        <v>245</v>
      </c>
      <c r="AQ108" s="10" t="s">
        <v>387</v>
      </c>
      <c r="AR108" s="10" t="s">
        <v>247</v>
      </c>
      <c r="AS108" s="10" t="s">
        <v>248</v>
      </c>
      <c r="AT108" s="10" t="s">
        <v>249</v>
      </c>
      <c r="AU108" s="10" t="s">
        <v>250</v>
      </c>
      <c r="AV108" s="10" t="s">
        <v>86</v>
      </c>
      <c r="AW108" s="10" t="s">
        <v>86</v>
      </c>
      <c r="AX108" s="11">
        <f>10*SUMPRODUCT(--(AN108:AW108&lt;&gt;""),--(((AN108:AW108=정답표!$C$8:$L$8)+(AN108:AW108=정답표!$C$9:$L$9))&gt;0))</f>
        <v>90</v>
      </c>
      <c r="AY108" s="10" t="s">
        <v>95</v>
      </c>
      <c r="AZ108" s="10" t="s">
        <v>96</v>
      </c>
      <c r="BA108" s="10" t="s">
        <v>498</v>
      </c>
      <c r="BB108" s="10" t="s">
        <v>389</v>
      </c>
      <c r="BC108" s="10" t="s">
        <v>99</v>
      </c>
      <c r="BD108" s="10" t="s">
        <v>100</v>
      </c>
      <c r="BE108" s="10" t="s">
        <v>101</v>
      </c>
      <c r="BF108" s="10" t="s">
        <v>86</v>
      </c>
      <c r="BG108" s="10" t="s">
        <v>86</v>
      </c>
      <c r="BH108" s="10" t="s">
        <v>102</v>
      </c>
      <c r="BI108" s="11">
        <f>10*SUMPRODUCT(--(AY108:BH108&lt;&gt;""),--(((AY108:BH108=정답표!$C$10:$L$10)+(AY108:BH108=정답표!$C$11:$L$11))&gt;0))</f>
        <v>80</v>
      </c>
      <c r="BJ108" s="11">
        <f t="shared" si="13"/>
        <v>450</v>
      </c>
      <c r="BK108" s="12">
        <f t="shared" si="14"/>
        <v>5</v>
      </c>
      <c r="BL108" s="28">
        <f>IF(QuizMatchTable[[#This Row],[분반]]=1, QuizMatchTable[[#This Row],[퀴즈합계]]/4 *0.3, QuizMatchTable[[#This Row],[퀴즈합계]]/5*0.3)</f>
        <v>27</v>
      </c>
      <c r="BM108" s="28">
        <v>30</v>
      </c>
      <c r="BN108" s="28">
        <v>16</v>
      </c>
      <c r="BO108" s="13"/>
      <c r="BP108" s="28">
        <f>SUM(QuizMatchTable[[#This Row],[퀴즈점수(30)]],BM108,BN108,BO108)</f>
        <v>73</v>
      </c>
      <c r="BQ108" s="13">
        <f t="shared" si="15"/>
        <v>11</v>
      </c>
      <c r="BR108" s="33" t="s">
        <v>656</v>
      </c>
      <c r="BS108" s="13">
        <v>0</v>
      </c>
      <c r="BT108" s="13"/>
    </row>
    <row r="109" spans="1:72" x14ac:dyDescent="0.3">
      <c r="A109" s="31" t="s">
        <v>64</v>
      </c>
      <c r="B109" s="14">
        <v>4</v>
      </c>
      <c r="C109" s="14">
        <v>20240813</v>
      </c>
      <c r="D109" s="15" t="s">
        <v>526</v>
      </c>
      <c r="E109" s="14" t="s">
        <v>527</v>
      </c>
      <c r="F109" s="15" t="s">
        <v>528</v>
      </c>
      <c r="G109" s="16" t="s">
        <v>68</v>
      </c>
      <c r="H109" s="16" t="s">
        <v>69</v>
      </c>
      <c r="I109" s="16" t="s">
        <v>70</v>
      </c>
      <c r="J109" s="16" t="s">
        <v>71</v>
      </c>
      <c r="K109" s="16" t="s">
        <v>72</v>
      </c>
      <c r="L109" s="16" t="s">
        <v>73</v>
      </c>
      <c r="M109" s="16" t="s">
        <v>74</v>
      </c>
      <c r="N109" s="16" t="s">
        <v>75</v>
      </c>
      <c r="O109" s="16" t="s">
        <v>76</v>
      </c>
      <c r="P109" s="16" t="s">
        <v>77</v>
      </c>
      <c r="Q109" s="17">
        <f>10*SUMPRODUCT(--(G109:P109&lt;&gt;""),--(((G109:P109=정답표!$C$2:$L$2)+(G109:P109=정답표!$C$3:$L$3))&gt;0))</f>
        <v>100</v>
      </c>
      <c r="R109" s="16" t="s">
        <v>78</v>
      </c>
      <c r="S109" s="16" t="s">
        <v>79</v>
      </c>
      <c r="T109" s="16" t="s">
        <v>80</v>
      </c>
      <c r="U109" s="16" t="s">
        <v>81</v>
      </c>
      <c r="V109" s="16" t="s">
        <v>82</v>
      </c>
      <c r="W109" s="16" t="s">
        <v>83</v>
      </c>
      <c r="X109" s="16" t="s">
        <v>84</v>
      </c>
      <c r="Y109" s="16" t="s">
        <v>85</v>
      </c>
      <c r="Z109" s="16" t="s">
        <v>86</v>
      </c>
      <c r="AA109" s="16" t="s">
        <v>86</v>
      </c>
      <c r="AB109" s="17">
        <f>10*SUMPRODUCT(--(R109:AA109&lt;&gt;""),--(((R109:AA109=정답표!$C$4:$L$4)+(R109:AA109=정답표!$C$5:$L$5))&gt;0))</f>
        <v>100</v>
      </c>
      <c r="AC109" s="16" t="s">
        <v>284</v>
      </c>
      <c r="AD109" s="16" t="s">
        <v>88</v>
      </c>
      <c r="AE109" s="16" t="s">
        <v>89</v>
      </c>
      <c r="AF109" s="16" t="s">
        <v>90</v>
      </c>
      <c r="AG109" s="16" t="s">
        <v>91</v>
      </c>
      <c r="AH109" s="16" t="s">
        <v>92</v>
      </c>
      <c r="AI109" s="16" t="s">
        <v>93</v>
      </c>
      <c r="AJ109" s="16" t="s">
        <v>94</v>
      </c>
      <c r="AK109" s="16" t="s">
        <v>86</v>
      </c>
      <c r="AL109" s="16" t="s">
        <v>86</v>
      </c>
      <c r="AM109" s="17">
        <f>10*SUMPRODUCT(--(AC109:AL109&lt;&gt;""),--(((AC109:AL109=정답표!$C$6:$L$6)+(AC109:AL109=정답표!$C$7:$L$7))&gt;0))</f>
        <v>90</v>
      </c>
      <c r="AN109" s="16" t="s">
        <v>243</v>
      </c>
      <c r="AO109" s="16" t="s">
        <v>244</v>
      </c>
      <c r="AP109" s="16" t="s">
        <v>245</v>
      </c>
      <c r="AQ109" s="16" t="s">
        <v>246</v>
      </c>
      <c r="AR109" s="16" t="s">
        <v>247</v>
      </c>
      <c r="AS109" s="16" t="s">
        <v>248</v>
      </c>
      <c r="AT109" s="16" t="s">
        <v>249</v>
      </c>
      <c r="AU109" s="16" t="s">
        <v>250</v>
      </c>
      <c r="AV109" s="16" t="s">
        <v>86</v>
      </c>
      <c r="AW109" s="16" t="s">
        <v>86</v>
      </c>
      <c r="AX109" s="17">
        <f>10*SUMPRODUCT(--(AN109:AW109&lt;&gt;""),--(((AN109:AW109=정답표!$C$8:$L$8)+(AN109:AW109=정답표!$C$9:$L$9))&gt;0))</f>
        <v>100</v>
      </c>
      <c r="AY109" s="16" t="s">
        <v>95</v>
      </c>
      <c r="AZ109" s="16" t="s">
        <v>96</v>
      </c>
      <c r="BA109" s="16" t="s">
        <v>97</v>
      </c>
      <c r="BB109" s="16" t="s">
        <v>98</v>
      </c>
      <c r="BC109" s="16" t="s">
        <v>99</v>
      </c>
      <c r="BD109" s="16" t="s">
        <v>100</v>
      </c>
      <c r="BE109" s="16" t="s">
        <v>101</v>
      </c>
      <c r="BF109" s="16" t="s">
        <v>86</v>
      </c>
      <c r="BG109" s="16" t="s">
        <v>86</v>
      </c>
      <c r="BH109" s="16" t="s">
        <v>102</v>
      </c>
      <c r="BI109" s="17">
        <f>10*SUMPRODUCT(--(AY109:BH109&lt;&gt;""),--(((AY109:BH109=정답표!$C$10:$L$10)+(AY109:BH109=정답표!$C$11:$L$11))&gt;0))</f>
        <v>100</v>
      </c>
      <c r="BJ109" s="17">
        <f t="shared" si="13"/>
        <v>490</v>
      </c>
      <c r="BK109" s="18">
        <f t="shared" si="14"/>
        <v>5</v>
      </c>
      <c r="BL109" s="29">
        <f>IF(QuizMatchTable[[#This Row],[분반]]=1, QuizMatchTable[[#This Row],[퀴즈합계]]/4 *0.3, QuizMatchTable[[#This Row],[퀴즈합계]]/5*0.3)</f>
        <v>29.4</v>
      </c>
      <c r="BM109" s="29">
        <v>30</v>
      </c>
      <c r="BN109" s="29">
        <v>19.2</v>
      </c>
      <c r="BO109" s="22"/>
      <c r="BP109" s="29">
        <f>SUM(QuizMatchTable[[#This Row],[퀴즈점수(30)]],BM109,BN109,BO109)</f>
        <v>78.599999999999994</v>
      </c>
      <c r="BQ109" s="22">
        <f t="shared" si="15"/>
        <v>4</v>
      </c>
      <c r="BR109" s="34" t="s">
        <v>654</v>
      </c>
      <c r="BS109" s="22">
        <v>0</v>
      </c>
      <c r="BT109" s="22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/>
  </sheetViews>
  <sheetFormatPr defaultRowHeight="16.5" x14ac:dyDescent="0.3"/>
  <cols>
    <col min="1" max="1" width="8" customWidth="1"/>
    <col min="2" max="2" width="14" customWidth="1"/>
    <col min="3" max="12" width="28" customWidth="1"/>
  </cols>
  <sheetData>
    <row r="1" spans="1:12" ht="20.65" customHeight="1" x14ac:dyDescent="0.3">
      <c r="A1" s="3" t="s">
        <v>576</v>
      </c>
      <c r="B1" s="3" t="s">
        <v>577</v>
      </c>
      <c r="C1" s="3" t="s">
        <v>578</v>
      </c>
      <c r="D1" s="3" t="s">
        <v>579</v>
      </c>
      <c r="E1" s="3" t="s">
        <v>580</v>
      </c>
      <c r="F1" s="3" t="s">
        <v>581</v>
      </c>
      <c r="G1" s="3" t="s">
        <v>582</v>
      </c>
      <c r="H1" s="3" t="s">
        <v>583</v>
      </c>
      <c r="I1" s="3" t="s">
        <v>584</v>
      </c>
      <c r="J1" s="3" t="s">
        <v>585</v>
      </c>
      <c r="K1" s="3" t="s">
        <v>586</v>
      </c>
      <c r="L1" s="3" t="s">
        <v>587</v>
      </c>
    </row>
    <row r="2" spans="1:12" ht="33" x14ac:dyDescent="0.3">
      <c r="A2" s="4" t="s">
        <v>16</v>
      </c>
      <c r="B2" s="4" t="s">
        <v>588</v>
      </c>
      <c r="C2" s="4" t="s">
        <v>68</v>
      </c>
      <c r="D2" s="4" t="s">
        <v>69</v>
      </c>
      <c r="E2" s="4" t="s">
        <v>70</v>
      </c>
      <c r="F2" s="4" t="s">
        <v>71</v>
      </c>
      <c r="G2" s="4" t="s">
        <v>72</v>
      </c>
      <c r="H2" s="4" t="s">
        <v>73</v>
      </c>
      <c r="I2" s="4" t="s">
        <v>74</v>
      </c>
      <c r="J2" s="4" t="s">
        <v>75</v>
      </c>
      <c r="K2" s="4" t="s">
        <v>76</v>
      </c>
      <c r="L2" s="4" t="s">
        <v>77</v>
      </c>
    </row>
    <row r="3" spans="1:12" x14ac:dyDescent="0.3">
      <c r="A3" s="4" t="s">
        <v>16</v>
      </c>
      <c r="B3" s="4" t="s">
        <v>589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33" x14ac:dyDescent="0.3">
      <c r="A4" s="4" t="s">
        <v>27</v>
      </c>
      <c r="B4" s="4" t="s">
        <v>590</v>
      </c>
      <c r="C4" s="4" t="s">
        <v>78</v>
      </c>
      <c r="D4" s="4" t="s">
        <v>106</v>
      </c>
      <c r="E4" s="4" t="s">
        <v>107</v>
      </c>
      <c r="F4" s="4" t="s">
        <v>108</v>
      </c>
      <c r="G4" s="4" t="s">
        <v>109</v>
      </c>
      <c r="H4" s="4" t="s">
        <v>110</v>
      </c>
      <c r="I4" s="4" t="s">
        <v>111</v>
      </c>
      <c r="J4" s="4" t="s">
        <v>112</v>
      </c>
      <c r="K4" s="4" t="s">
        <v>86</v>
      </c>
      <c r="L4" s="4" t="s">
        <v>86</v>
      </c>
    </row>
    <row r="5" spans="1:12" ht="33" x14ac:dyDescent="0.3">
      <c r="A5" s="4" t="s">
        <v>27</v>
      </c>
      <c r="B5" s="4" t="s">
        <v>591</v>
      </c>
      <c r="C5" s="4" t="s">
        <v>78</v>
      </c>
      <c r="D5" s="4" t="s">
        <v>79</v>
      </c>
      <c r="E5" s="4" t="s">
        <v>80</v>
      </c>
      <c r="F5" s="4" t="s">
        <v>81</v>
      </c>
      <c r="G5" s="4" t="s">
        <v>82</v>
      </c>
      <c r="H5" s="4" t="s">
        <v>83</v>
      </c>
      <c r="I5" s="4" t="s">
        <v>84</v>
      </c>
      <c r="J5" s="4" t="s">
        <v>85</v>
      </c>
      <c r="K5" s="4" t="s">
        <v>86</v>
      </c>
      <c r="L5" s="4" t="s">
        <v>86</v>
      </c>
    </row>
    <row r="6" spans="1:12" ht="66" x14ac:dyDescent="0.3">
      <c r="A6" s="4" t="s">
        <v>38</v>
      </c>
      <c r="B6" s="4" t="s">
        <v>590</v>
      </c>
      <c r="C6" s="4" t="s">
        <v>113</v>
      </c>
      <c r="D6" s="4" t="s">
        <v>114</v>
      </c>
      <c r="E6" s="4" t="s">
        <v>115</v>
      </c>
      <c r="F6" s="4" t="s">
        <v>116</v>
      </c>
      <c r="G6" s="4" t="s">
        <v>117</v>
      </c>
      <c r="H6" s="4" t="s">
        <v>118</v>
      </c>
      <c r="I6" s="4" t="s">
        <v>119</v>
      </c>
      <c r="J6" s="4" t="s">
        <v>120</v>
      </c>
      <c r="K6" s="4" t="s">
        <v>86</v>
      </c>
      <c r="L6" s="4" t="s">
        <v>86</v>
      </c>
    </row>
    <row r="7" spans="1:12" ht="49.5" x14ac:dyDescent="0.3">
      <c r="A7" s="4" t="s">
        <v>38</v>
      </c>
      <c r="B7" s="4" t="s">
        <v>591</v>
      </c>
      <c r="C7" s="4" t="s">
        <v>87</v>
      </c>
      <c r="D7" s="4" t="s">
        <v>88</v>
      </c>
      <c r="E7" s="4" t="s">
        <v>89</v>
      </c>
      <c r="F7" s="4" t="s">
        <v>90</v>
      </c>
      <c r="G7" s="4" t="s">
        <v>91</v>
      </c>
      <c r="H7" s="4" t="s">
        <v>92</v>
      </c>
      <c r="I7" s="4" t="s">
        <v>93</v>
      </c>
      <c r="J7" s="4" t="s">
        <v>94</v>
      </c>
      <c r="K7" s="4" t="s">
        <v>86</v>
      </c>
      <c r="L7" s="4" t="s">
        <v>86</v>
      </c>
    </row>
    <row r="8" spans="1:12" ht="49.5" x14ac:dyDescent="0.3">
      <c r="A8" s="4" t="s">
        <v>49</v>
      </c>
      <c r="B8" s="4" t="s">
        <v>590</v>
      </c>
      <c r="C8" s="4" t="s">
        <v>559</v>
      </c>
      <c r="D8" s="4" t="s">
        <v>560</v>
      </c>
      <c r="E8" s="4" t="s">
        <v>561</v>
      </c>
      <c r="F8" s="4" t="s">
        <v>562</v>
      </c>
      <c r="G8" s="4" t="s">
        <v>563</v>
      </c>
      <c r="H8" s="4" t="s">
        <v>564</v>
      </c>
      <c r="I8" s="4" t="s">
        <v>565</v>
      </c>
      <c r="J8" s="4" t="s">
        <v>566</v>
      </c>
      <c r="K8" s="4" t="s">
        <v>86</v>
      </c>
      <c r="L8" s="4" t="s">
        <v>86</v>
      </c>
    </row>
    <row r="9" spans="1:12" ht="33" x14ac:dyDescent="0.3">
      <c r="A9" s="4" t="s">
        <v>49</v>
      </c>
      <c r="B9" s="4" t="s">
        <v>591</v>
      </c>
      <c r="C9" s="4" t="s">
        <v>243</v>
      </c>
      <c r="D9" s="4" t="s">
        <v>244</v>
      </c>
      <c r="E9" s="4" t="s">
        <v>245</v>
      </c>
      <c r="F9" s="4" t="s">
        <v>246</v>
      </c>
      <c r="G9" s="4" t="s">
        <v>247</v>
      </c>
      <c r="H9" s="4" t="s">
        <v>248</v>
      </c>
      <c r="I9" s="4" t="s">
        <v>249</v>
      </c>
      <c r="J9" s="4" t="s">
        <v>250</v>
      </c>
      <c r="K9" s="4" t="s">
        <v>86</v>
      </c>
      <c r="L9" s="4" t="s">
        <v>86</v>
      </c>
    </row>
    <row r="10" spans="1:12" ht="33" x14ac:dyDescent="0.3">
      <c r="A10" s="4" t="s">
        <v>60</v>
      </c>
      <c r="B10" s="4" t="s">
        <v>590</v>
      </c>
      <c r="C10" s="4" t="s">
        <v>121</v>
      </c>
      <c r="D10" s="4" t="s">
        <v>122</v>
      </c>
      <c r="E10" s="4" t="s">
        <v>123</v>
      </c>
      <c r="F10" s="4" t="s">
        <v>124</v>
      </c>
      <c r="G10" s="4" t="s">
        <v>125</v>
      </c>
      <c r="H10" s="4" t="s">
        <v>126</v>
      </c>
      <c r="I10" s="4" t="s">
        <v>127</v>
      </c>
      <c r="J10" s="4" t="s">
        <v>86</v>
      </c>
      <c r="K10" s="4" t="s">
        <v>86</v>
      </c>
      <c r="L10" s="4" t="s">
        <v>102</v>
      </c>
    </row>
    <row r="11" spans="1:12" ht="33" x14ac:dyDescent="0.3">
      <c r="A11" s="4" t="s">
        <v>60</v>
      </c>
      <c r="B11" s="4" t="s">
        <v>591</v>
      </c>
      <c r="C11" s="4" t="s">
        <v>95</v>
      </c>
      <c r="D11" s="4" t="s">
        <v>96</v>
      </c>
      <c r="E11" s="4" t="s">
        <v>97</v>
      </c>
      <c r="F11" s="4" t="s">
        <v>98</v>
      </c>
      <c r="G11" s="4" t="s">
        <v>99</v>
      </c>
      <c r="H11" s="4" t="s">
        <v>100</v>
      </c>
      <c r="I11" s="4" t="s">
        <v>101</v>
      </c>
      <c r="J11" s="4" t="s">
        <v>86</v>
      </c>
      <c r="K11" s="4" t="s">
        <v>86</v>
      </c>
      <c r="L11" s="4" t="s">
        <v>102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6.5" x14ac:dyDescent="0.3"/>
  <cols>
    <col min="1" max="1" width="20" customWidth="1"/>
    <col min="2" max="6" width="12" customWidth="1"/>
  </cols>
  <sheetData>
    <row r="1" spans="1:6" ht="20.65" customHeight="1" x14ac:dyDescent="0.3">
      <c r="A1" s="3" t="s">
        <v>592</v>
      </c>
      <c r="B1" s="3" t="s">
        <v>16</v>
      </c>
      <c r="C1" s="3" t="s">
        <v>27</v>
      </c>
      <c r="D1" s="3" t="s">
        <v>38</v>
      </c>
      <c r="E1" s="3" t="s">
        <v>49</v>
      </c>
      <c r="F1" s="3" t="s">
        <v>60</v>
      </c>
    </row>
    <row r="2" spans="1:6" x14ac:dyDescent="0.3">
      <c r="A2" s="4" t="s">
        <v>593</v>
      </c>
      <c r="B2" s="5">
        <v>84</v>
      </c>
      <c r="C2" s="5">
        <v>99</v>
      </c>
      <c r="D2" s="5">
        <v>92</v>
      </c>
      <c r="E2" s="5">
        <v>74</v>
      </c>
      <c r="F2" s="5">
        <v>89</v>
      </c>
    </row>
    <row r="3" spans="1:6" x14ac:dyDescent="0.3">
      <c r="A3" s="4" t="s">
        <v>594</v>
      </c>
      <c r="B3" s="5">
        <v>84</v>
      </c>
      <c r="C3" s="5">
        <v>93</v>
      </c>
      <c r="D3" s="5">
        <v>92</v>
      </c>
      <c r="E3" s="5">
        <v>73</v>
      </c>
      <c r="F3" s="5">
        <v>89</v>
      </c>
    </row>
    <row r="4" spans="1:6" x14ac:dyDescent="0.3">
      <c r="A4" s="4" t="s">
        <v>595</v>
      </c>
      <c r="B4" s="5">
        <v>84</v>
      </c>
      <c r="C4" s="5">
        <v>91</v>
      </c>
      <c r="D4" s="5">
        <v>92</v>
      </c>
      <c r="E4" s="5">
        <v>73</v>
      </c>
      <c r="F4" s="5">
        <v>89</v>
      </c>
    </row>
    <row r="5" spans="1:6" x14ac:dyDescent="0.3">
      <c r="A5" s="4" t="s">
        <v>596</v>
      </c>
      <c r="B5" s="5">
        <v>0</v>
      </c>
      <c r="C5" s="5">
        <v>6</v>
      </c>
      <c r="D5" s="5">
        <v>0</v>
      </c>
      <c r="E5" s="5">
        <v>1</v>
      </c>
      <c r="F5" s="5">
        <v>0</v>
      </c>
    </row>
    <row r="6" spans="1:6" x14ac:dyDescent="0.3">
      <c r="A6" s="4" t="s">
        <v>597</v>
      </c>
      <c r="B6" s="5">
        <v>0</v>
      </c>
      <c r="C6" s="5">
        <v>2</v>
      </c>
      <c r="D6" s="5">
        <v>0</v>
      </c>
      <c r="E6" s="5">
        <v>0</v>
      </c>
      <c r="F6" s="5">
        <v>0</v>
      </c>
    </row>
    <row r="7" spans="1:6" x14ac:dyDescent="0.3">
      <c r="A7" s="4" t="s">
        <v>598</v>
      </c>
      <c r="B7" s="5">
        <v>24</v>
      </c>
      <c r="C7" s="5">
        <v>17</v>
      </c>
      <c r="D7" s="5">
        <v>16</v>
      </c>
      <c r="E7" s="5">
        <v>35</v>
      </c>
      <c r="F7" s="5">
        <v>19</v>
      </c>
    </row>
    <row r="8" spans="1:6" x14ac:dyDescent="0.3">
      <c r="A8" s="4" t="s">
        <v>599</v>
      </c>
      <c r="B8" s="5">
        <v>88.8</v>
      </c>
      <c r="C8" s="5">
        <v>92</v>
      </c>
      <c r="D8" s="5">
        <v>89.8</v>
      </c>
      <c r="E8" s="5">
        <v>94.9</v>
      </c>
      <c r="F8" s="5">
        <v>95.8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/>
  </sheetViews>
  <sheetFormatPr defaultRowHeight="16.5" x14ac:dyDescent="0.3"/>
  <cols>
    <col min="1" max="7" width="16" customWidth="1"/>
    <col min="8" max="8" width="34" customWidth="1"/>
  </cols>
  <sheetData>
    <row r="1" spans="1:8" ht="20.65" customHeight="1" x14ac:dyDescent="0.3">
      <c r="A1" s="3" t="s">
        <v>576</v>
      </c>
      <c r="B1" s="3" t="s">
        <v>600</v>
      </c>
      <c r="C1" s="3" t="s">
        <v>601</v>
      </c>
      <c r="D1" s="3" t="s">
        <v>602</v>
      </c>
      <c r="E1" s="3" t="s">
        <v>603</v>
      </c>
      <c r="F1" s="3" t="s">
        <v>604</v>
      </c>
      <c r="G1" s="3" t="s">
        <v>605</v>
      </c>
      <c r="H1" s="3" t="s">
        <v>606</v>
      </c>
    </row>
    <row r="2" spans="1:8" x14ac:dyDescent="0.3">
      <c r="A2" s="4" t="s">
        <v>27</v>
      </c>
      <c r="B2" s="4">
        <v>37</v>
      </c>
      <c r="C2" s="4" t="s">
        <v>607</v>
      </c>
      <c r="D2" s="4" t="s">
        <v>608</v>
      </c>
      <c r="E2" s="4" t="s">
        <v>608</v>
      </c>
      <c r="F2" s="4"/>
      <c r="G2" s="4">
        <v>90</v>
      </c>
      <c r="H2" s="4" t="s">
        <v>609</v>
      </c>
    </row>
    <row r="3" spans="1:8" x14ac:dyDescent="0.3">
      <c r="A3" s="4" t="s">
        <v>27</v>
      </c>
      <c r="B3" s="4">
        <v>72</v>
      </c>
      <c r="C3" s="4" t="s">
        <v>610</v>
      </c>
      <c r="D3" s="4" t="s">
        <v>611</v>
      </c>
      <c r="E3" s="4" t="s">
        <v>611</v>
      </c>
      <c r="F3" s="4"/>
      <c r="G3" s="4">
        <v>100</v>
      </c>
      <c r="H3" s="4" t="s">
        <v>612</v>
      </c>
    </row>
    <row r="4" spans="1:8" x14ac:dyDescent="0.3">
      <c r="A4" s="4" t="s">
        <v>27</v>
      </c>
      <c r="B4" s="4">
        <v>85</v>
      </c>
      <c r="C4" s="4" t="s">
        <v>613</v>
      </c>
      <c r="D4" s="4" t="s">
        <v>614</v>
      </c>
      <c r="E4" s="4" t="s">
        <v>614</v>
      </c>
      <c r="F4" s="4"/>
      <c r="G4" s="4">
        <v>90</v>
      </c>
      <c r="H4" s="4" t="s">
        <v>615</v>
      </c>
    </row>
    <row r="5" spans="1:8" x14ac:dyDescent="0.3">
      <c r="A5" s="4" t="s">
        <v>27</v>
      </c>
      <c r="B5" s="4">
        <v>86</v>
      </c>
      <c r="C5" s="4" t="s">
        <v>616</v>
      </c>
      <c r="D5" s="4" t="s">
        <v>614</v>
      </c>
      <c r="E5" s="4" t="s">
        <v>614</v>
      </c>
      <c r="F5" s="4"/>
      <c r="G5" s="4">
        <v>90</v>
      </c>
      <c r="H5" s="4" t="s">
        <v>615</v>
      </c>
    </row>
    <row r="6" spans="1:8" x14ac:dyDescent="0.3">
      <c r="A6" s="4" t="s">
        <v>27</v>
      </c>
      <c r="B6" s="4">
        <v>95</v>
      </c>
      <c r="C6" s="4" t="s">
        <v>617</v>
      </c>
      <c r="D6" s="4" t="s">
        <v>618</v>
      </c>
      <c r="E6" s="4" t="s">
        <v>618</v>
      </c>
      <c r="F6" s="4"/>
      <c r="G6" s="4">
        <v>90</v>
      </c>
      <c r="H6" s="4" t="s">
        <v>619</v>
      </c>
    </row>
    <row r="7" spans="1:8" x14ac:dyDescent="0.3">
      <c r="A7" s="4" t="s">
        <v>27</v>
      </c>
      <c r="B7" s="4">
        <v>96</v>
      </c>
      <c r="C7" s="4" t="s">
        <v>620</v>
      </c>
      <c r="D7" s="4" t="s">
        <v>618</v>
      </c>
      <c r="E7" s="4" t="s">
        <v>618</v>
      </c>
      <c r="F7" s="4"/>
      <c r="G7" s="4">
        <v>90</v>
      </c>
      <c r="H7" s="4" t="s">
        <v>619</v>
      </c>
    </row>
    <row r="8" spans="1:8" x14ac:dyDescent="0.3">
      <c r="A8" s="4" t="s">
        <v>49</v>
      </c>
      <c r="B8" s="4">
        <v>75</v>
      </c>
      <c r="C8" s="4" t="s">
        <v>621</v>
      </c>
      <c r="D8" s="4" t="s">
        <v>622</v>
      </c>
      <c r="E8" s="4" t="s">
        <v>622</v>
      </c>
      <c r="F8" s="4"/>
      <c r="G8" s="4">
        <v>100</v>
      </c>
      <c r="H8" s="4" t="s">
        <v>623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/>
  </sheetViews>
  <sheetFormatPr defaultRowHeight="16.5" x14ac:dyDescent="0.3"/>
  <cols>
    <col min="1" max="7" width="16" customWidth="1"/>
    <col min="8" max="8" width="34" customWidth="1"/>
  </cols>
  <sheetData>
    <row r="1" spans="1:8" ht="20.65" customHeight="1" x14ac:dyDescent="0.3">
      <c r="A1" s="3" t="s">
        <v>576</v>
      </c>
      <c r="B1" s="3" t="s">
        <v>600</v>
      </c>
      <c r="C1" s="3" t="s">
        <v>601</v>
      </c>
      <c r="D1" s="3" t="s">
        <v>602</v>
      </c>
      <c r="E1" s="3" t="s">
        <v>624</v>
      </c>
      <c r="F1" s="3" t="s">
        <v>604</v>
      </c>
      <c r="G1" s="3" t="s">
        <v>605</v>
      </c>
      <c r="H1" s="3" t="s">
        <v>625</v>
      </c>
    </row>
    <row r="2" spans="1:8" x14ac:dyDescent="0.3">
      <c r="A2" s="4" t="s">
        <v>27</v>
      </c>
      <c r="B2" s="4">
        <v>2</v>
      </c>
      <c r="C2" s="4" t="s">
        <v>626</v>
      </c>
      <c r="D2" s="4" t="s">
        <v>627</v>
      </c>
      <c r="E2" s="4" t="s">
        <v>627</v>
      </c>
      <c r="F2" s="4"/>
      <c r="G2" s="4">
        <v>90</v>
      </c>
      <c r="H2" s="4" t="s">
        <v>628</v>
      </c>
    </row>
    <row r="3" spans="1:8" x14ac:dyDescent="0.3">
      <c r="A3" s="4" t="s">
        <v>27</v>
      </c>
      <c r="B3" s="4">
        <v>3</v>
      </c>
      <c r="C3" s="4" t="s">
        <v>629</v>
      </c>
      <c r="D3" s="4" t="s">
        <v>630</v>
      </c>
      <c r="E3" s="4" t="s">
        <v>630</v>
      </c>
      <c r="F3" s="4"/>
      <c r="G3" s="4">
        <v>100</v>
      </c>
      <c r="H3" s="4" t="s">
        <v>628</v>
      </c>
    </row>
    <row r="4" spans="1:8" x14ac:dyDescent="0.3">
      <c r="A4" s="4"/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/>
  </sheetViews>
  <sheetFormatPr defaultRowHeight="16.5" x14ac:dyDescent="0.3"/>
  <cols>
    <col min="1" max="7" width="16" customWidth="1"/>
    <col min="8" max="8" width="26" customWidth="1"/>
  </cols>
  <sheetData>
    <row r="1" spans="1:8" ht="20.65" customHeight="1" x14ac:dyDescent="0.3">
      <c r="A1" s="3" t="s">
        <v>576</v>
      </c>
      <c r="B1" s="3" t="s">
        <v>600</v>
      </c>
      <c r="C1" s="3" t="s">
        <v>601</v>
      </c>
      <c r="D1" s="3" t="s">
        <v>631</v>
      </c>
      <c r="E1" s="3" t="s">
        <v>632</v>
      </c>
      <c r="F1" s="3" t="s">
        <v>604</v>
      </c>
      <c r="G1" s="3" t="s">
        <v>605</v>
      </c>
      <c r="H1" s="3" t="s">
        <v>633</v>
      </c>
    </row>
    <row r="2" spans="1:8" x14ac:dyDescent="0.3">
      <c r="A2" s="4" t="s">
        <v>16</v>
      </c>
      <c r="B2" s="4">
        <v>50</v>
      </c>
      <c r="C2" s="4" t="s">
        <v>634</v>
      </c>
      <c r="D2" s="4" t="s">
        <v>635</v>
      </c>
      <c r="E2" s="4" t="s">
        <v>636</v>
      </c>
      <c r="F2" s="4" t="s">
        <v>399</v>
      </c>
      <c r="G2" s="4">
        <v>90</v>
      </c>
      <c r="H2" s="4" t="s">
        <v>637</v>
      </c>
    </row>
    <row r="3" spans="1:8" x14ac:dyDescent="0.3">
      <c r="A3" s="4" t="s">
        <v>38</v>
      </c>
      <c r="B3" s="4">
        <v>21</v>
      </c>
      <c r="C3" s="4" t="s">
        <v>638</v>
      </c>
      <c r="D3" s="4" t="s">
        <v>639</v>
      </c>
      <c r="E3" s="4" t="s">
        <v>640</v>
      </c>
      <c r="F3" s="4" t="s">
        <v>204</v>
      </c>
      <c r="G3" s="4">
        <v>20</v>
      </c>
      <c r="H3" s="4" t="s">
        <v>641</v>
      </c>
    </row>
    <row r="4" spans="1:8" x14ac:dyDescent="0.3">
      <c r="A4" t="s">
        <v>16</v>
      </c>
      <c r="B4">
        <v>4</v>
      </c>
      <c r="C4" t="s">
        <v>642</v>
      </c>
      <c r="D4" t="s">
        <v>643</v>
      </c>
      <c r="E4" t="s">
        <v>644</v>
      </c>
      <c r="F4" t="s">
        <v>281</v>
      </c>
      <c r="G4">
        <v>90</v>
      </c>
      <c r="H4" t="s">
        <v>645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9"/>
  <sheetViews>
    <sheetView workbookViewId="0"/>
  </sheetViews>
  <sheetFormatPr defaultRowHeight="16.5" x14ac:dyDescent="0.3"/>
  <cols>
    <col min="1" max="1" width="3.875" customWidth="1"/>
    <col min="2" max="2" width="7.875" customWidth="1"/>
    <col min="3" max="3" width="15.125" customWidth="1"/>
    <col min="4" max="4" width="7.75" customWidth="1"/>
    <col min="5" max="5" width="3.875" customWidth="1"/>
  </cols>
  <sheetData>
    <row r="1" spans="1:5" ht="33" x14ac:dyDescent="0.3">
      <c r="A1" s="23" t="s">
        <v>1</v>
      </c>
      <c r="B1" s="23" t="s">
        <v>2</v>
      </c>
      <c r="C1" s="23" t="s">
        <v>3</v>
      </c>
      <c r="D1" s="23" t="s">
        <v>646</v>
      </c>
      <c r="E1" s="23" t="s">
        <v>659</v>
      </c>
    </row>
    <row r="2" spans="1:5" x14ac:dyDescent="0.3">
      <c r="A2" t="s">
        <v>660</v>
      </c>
      <c r="B2" t="s">
        <v>661</v>
      </c>
      <c r="C2" t="s">
        <v>195</v>
      </c>
      <c r="D2">
        <v>12</v>
      </c>
    </row>
    <row r="3" spans="1:5" x14ac:dyDescent="0.3">
      <c r="A3" t="s">
        <v>660</v>
      </c>
      <c r="B3" t="s">
        <v>662</v>
      </c>
      <c r="C3" t="s">
        <v>223</v>
      </c>
      <c r="D3">
        <v>18</v>
      </c>
      <c r="E3" t="s">
        <v>663</v>
      </c>
    </row>
    <row r="4" spans="1:5" x14ac:dyDescent="0.3">
      <c r="A4" t="s">
        <v>660</v>
      </c>
      <c r="B4" t="s">
        <v>664</v>
      </c>
      <c r="C4" t="s">
        <v>228</v>
      </c>
      <c r="D4">
        <v>9</v>
      </c>
    </row>
    <row r="5" spans="1:5" x14ac:dyDescent="0.3">
      <c r="A5" t="s">
        <v>660</v>
      </c>
      <c r="B5" t="s">
        <v>665</v>
      </c>
      <c r="C5" t="s">
        <v>144</v>
      </c>
      <c r="D5">
        <v>6</v>
      </c>
    </row>
    <row r="6" spans="1:5" x14ac:dyDescent="0.3">
      <c r="A6" t="s">
        <v>660</v>
      </c>
      <c r="B6" t="s">
        <v>666</v>
      </c>
      <c r="C6" t="s">
        <v>232</v>
      </c>
      <c r="D6">
        <v>12</v>
      </c>
    </row>
    <row r="7" spans="1:5" x14ac:dyDescent="0.3">
      <c r="A7" t="s">
        <v>660</v>
      </c>
      <c r="B7" t="s">
        <v>667</v>
      </c>
      <c r="C7" t="s">
        <v>147</v>
      </c>
      <c r="D7">
        <v>6</v>
      </c>
    </row>
    <row r="8" spans="1:5" x14ac:dyDescent="0.3">
      <c r="A8" t="s">
        <v>660</v>
      </c>
      <c r="B8" t="s">
        <v>668</v>
      </c>
      <c r="C8" t="s">
        <v>235</v>
      </c>
      <c r="D8">
        <v>36</v>
      </c>
      <c r="E8" t="s">
        <v>663</v>
      </c>
    </row>
    <row r="9" spans="1:5" x14ac:dyDescent="0.3">
      <c r="A9" t="s">
        <v>660</v>
      </c>
      <c r="B9" t="s">
        <v>669</v>
      </c>
      <c r="C9" t="s">
        <v>192</v>
      </c>
      <c r="D9">
        <v>6</v>
      </c>
    </row>
    <row r="10" spans="1:5" x14ac:dyDescent="0.3">
      <c r="A10" t="s">
        <v>660</v>
      </c>
      <c r="B10" t="s">
        <v>670</v>
      </c>
      <c r="C10" t="s">
        <v>237</v>
      </c>
      <c r="D10">
        <v>33</v>
      </c>
      <c r="E10" t="s">
        <v>663</v>
      </c>
    </row>
    <row r="11" spans="1:5" x14ac:dyDescent="0.3">
      <c r="A11" t="s">
        <v>660</v>
      </c>
      <c r="B11" t="s">
        <v>671</v>
      </c>
      <c r="C11" t="s">
        <v>158</v>
      </c>
      <c r="D11">
        <v>3</v>
      </c>
    </row>
    <row r="12" spans="1:5" x14ac:dyDescent="0.3">
      <c r="A12" t="s">
        <v>660</v>
      </c>
      <c r="B12" t="s">
        <v>672</v>
      </c>
      <c r="C12" t="s">
        <v>200</v>
      </c>
      <c r="D12">
        <v>18</v>
      </c>
      <c r="E12" t="s">
        <v>663</v>
      </c>
    </row>
    <row r="13" spans="1:5" x14ac:dyDescent="0.3">
      <c r="A13" t="s">
        <v>660</v>
      </c>
      <c r="B13" t="s">
        <v>608</v>
      </c>
      <c r="C13" t="s">
        <v>171</v>
      </c>
      <c r="D13">
        <v>0</v>
      </c>
    </row>
    <row r="14" spans="1:5" x14ac:dyDescent="0.3">
      <c r="A14" t="s">
        <v>660</v>
      </c>
      <c r="B14" t="s">
        <v>673</v>
      </c>
      <c r="C14" t="s">
        <v>138</v>
      </c>
      <c r="D14">
        <v>3</v>
      </c>
    </row>
    <row r="15" spans="1:5" x14ac:dyDescent="0.3">
      <c r="A15" t="s">
        <v>660</v>
      </c>
      <c r="B15" t="s">
        <v>674</v>
      </c>
      <c r="C15" t="s">
        <v>65</v>
      </c>
      <c r="D15">
        <v>0</v>
      </c>
    </row>
    <row r="16" spans="1:5" x14ac:dyDescent="0.3">
      <c r="A16" t="s">
        <v>660</v>
      </c>
      <c r="B16" t="s">
        <v>675</v>
      </c>
      <c r="C16" t="s">
        <v>154</v>
      </c>
      <c r="D16">
        <v>6</v>
      </c>
    </row>
    <row r="17" spans="1:5" x14ac:dyDescent="0.3">
      <c r="A17" t="s">
        <v>660</v>
      </c>
      <c r="B17" t="s">
        <v>676</v>
      </c>
      <c r="C17" t="s">
        <v>189</v>
      </c>
      <c r="D17">
        <v>6</v>
      </c>
    </row>
    <row r="18" spans="1:5" x14ac:dyDescent="0.3">
      <c r="A18" t="s">
        <v>660</v>
      </c>
      <c r="B18" t="s">
        <v>677</v>
      </c>
      <c r="C18" t="s">
        <v>162</v>
      </c>
      <c r="D18">
        <v>12</v>
      </c>
    </row>
    <row r="19" spans="1:5" x14ac:dyDescent="0.3">
      <c r="A19" t="s">
        <v>660</v>
      </c>
      <c r="B19" t="s">
        <v>640</v>
      </c>
      <c r="C19" t="s">
        <v>204</v>
      </c>
      <c r="D19">
        <v>3</v>
      </c>
    </row>
    <row r="20" spans="1:5" x14ac:dyDescent="0.3">
      <c r="A20" t="s">
        <v>660</v>
      </c>
      <c r="B20" t="s">
        <v>678</v>
      </c>
      <c r="C20" t="s">
        <v>141</v>
      </c>
      <c r="D20">
        <v>12</v>
      </c>
    </row>
    <row r="21" spans="1:5" x14ac:dyDescent="0.3">
      <c r="A21" t="s">
        <v>660</v>
      </c>
      <c r="B21" t="s">
        <v>679</v>
      </c>
      <c r="C21" t="s">
        <v>226</v>
      </c>
      <c r="D21">
        <v>24</v>
      </c>
      <c r="E21" t="s">
        <v>663</v>
      </c>
    </row>
    <row r="22" spans="1:5" x14ac:dyDescent="0.3">
      <c r="A22" t="s">
        <v>660</v>
      </c>
      <c r="B22" t="s">
        <v>680</v>
      </c>
      <c r="C22" t="s">
        <v>103</v>
      </c>
      <c r="D22">
        <v>6</v>
      </c>
    </row>
    <row r="23" spans="1:5" x14ac:dyDescent="0.3">
      <c r="A23" t="s">
        <v>660</v>
      </c>
      <c r="B23" t="s">
        <v>681</v>
      </c>
      <c r="C23" t="s">
        <v>132</v>
      </c>
      <c r="D23">
        <v>0</v>
      </c>
    </row>
    <row r="24" spans="1:5" x14ac:dyDescent="0.3">
      <c r="A24" t="s">
        <v>660</v>
      </c>
      <c r="B24" t="s">
        <v>682</v>
      </c>
      <c r="C24" t="s">
        <v>150</v>
      </c>
      <c r="D24">
        <v>3</v>
      </c>
    </row>
    <row r="25" spans="1:5" x14ac:dyDescent="0.3">
      <c r="A25" t="s">
        <v>660</v>
      </c>
      <c r="B25" t="s">
        <v>683</v>
      </c>
      <c r="C25" t="s">
        <v>128</v>
      </c>
      <c r="D25">
        <v>0</v>
      </c>
    </row>
    <row r="26" spans="1:5" x14ac:dyDescent="0.3">
      <c r="A26" t="s">
        <v>660</v>
      </c>
      <c r="B26" t="s">
        <v>684</v>
      </c>
      <c r="C26" t="s">
        <v>164</v>
      </c>
      <c r="D26">
        <v>6</v>
      </c>
    </row>
    <row r="27" spans="1:5" x14ac:dyDescent="0.3">
      <c r="A27" t="s">
        <v>660</v>
      </c>
      <c r="B27" t="s">
        <v>685</v>
      </c>
      <c r="C27" t="s">
        <v>180</v>
      </c>
      <c r="D27">
        <v>6</v>
      </c>
    </row>
    <row r="28" spans="1:5" x14ac:dyDescent="0.3">
      <c r="A28" t="s">
        <v>686</v>
      </c>
      <c r="B28" t="s">
        <v>644</v>
      </c>
      <c r="C28" t="s">
        <v>687</v>
      </c>
      <c r="D28">
        <v>0</v>
      </c>
    </row>
    <row r="29" spans="1:5" x14ac:dyDescent="0.3">
      <c r="A29" t="s">
        <v>686</v>
      </c>
      <c r="B29" t="s">
        <v>688</v>
      </c>
      <c r="C29" t="s">
        <v>375</v>
      </c>
      <c r="D29">
        <v>0</v>
      </c>
    </row>
    <row r="30" spans="1:5" x14ac:dyDescent="0.3">
      <c r="A30" t="s">
        <v>686</v>
      </c>
      <c r="B30" t="s">
        <v>689</v>
      </c>
      <c r="C30" t="s">
        <v>309</v>
      </c>
      <c r="D30">
        <v>6</v>
      </c>
    </row>
    <row r="31" spans="1:5" x14ac:dyDescent="0.3">
      <c r="A31" t="s">
        <v>686</v>
      </c>
      <c r="B31" t="s">
        <v>690</v>
      </c>
      <c r="C31" t="s">
        <v>260</v>
      </c>
      <c r="D31">
        <v>0</v>
      </c>
    </row>
    <row r="32" spans="1:5" x14ac:dyDescent="0.3">
      <c r="A32" t="s">
        <v>686</v>
      </c>
      <c r="B32" t="s">
        <v>691</v>
      </c>
      <c r="C32" t="s">
        <v>317</v>
      </c>
      <c r="D32">
        <v>3</v>
      </c>
    </row>
    <row r="33" spans="1:4" x14ac:dyDescent="0.3">
      <c r="A33" t="s">
        <v>686</v>
      </c>
      <c r="B33" t="s">
        <v>692</v>
      </c>
      <c r="C33" t="s">
        <v>285</v>
      </c>
      <c r="D33">
        <v>0</v>
      </c>
    </row>
    <row r="34" spans="1:4" x14ac:dyDescent="0.3">
      <c r="A34" t="s">
        <v>686</v>
      </c>
      <c r="B34" t="s">
        <v>693</v>
      </c>
      <c r="C34" t="s">
        <v>337</v>
      </c>
      <c r="D34">
        <v>3</v>
      </c>
    </row>
    <row r="35" spans="1:4" x14ac:dyDescent="0.3">
      <c r="A35" t="s">
        <v>686</v>
      </c>
      <c r="B35" t="s">
        <v>694</v>
      </c>
      <c r="C35" t="s">
        <v>263</v>
      </c>
      <c r="D35">
        <v>3</v>
      </c>
    </row>
    <row r="36" spans="1:4" x14ac:dyDescent="0.3">
      <c r="A36" t="s">
        <v>686</v>
      </c>
      <c r="B36" t="s">
        <v>695</v>
      </c>
      <c r="C36" t="s">
        <v>303</v>
      </c>
      <c r="D36">
        <v>0</v>
      </c>
    </row>
    <row r="37" spans="1:4" x14ac:dyDescent="0.3">
      <c r="A37" t="s">
        <v>686</v>
      </c>
      <c r="B37" t="s">
        <v>696</v>
      </c>
      <c r="C37" t="s">
        <v>240</v>
      </c>
      <c r="D37">
        <v>0</v>
      </c>
    </row>
    <row r="38" spans="1:4" x14ac:dyDescent="0.3">
      <c r="A38" t="s">
        <v>686</v>
      </c>
      <c r="B38" t="s">
        <v>697</v>
      </c>
      <c r="C38" t="s">
        <v>329</v>
      </c>
      <c r="D38">
        <v>0</v>
      </c>
    </row>
    <row r="39" spans="1:4" x14ac:dyDescent="0.3">
      <c r="A39" t="s">
        <v>686</v>
      </c>
      <c r="B39" t="s">
        <v>698</v>
      </c>
      <c r="C39" t="s">
        <v>289</v>
      </c>
      <c r="D39">
        <v>0</v>
      </c>
    </row>
    <row r="40" spans="1:4" x14ac:dyDescent="0.3">
      <c r="A40" t="s">
        <v>686</v>
      </c>
      <c r="B40" t="s">
        <v>699</v>
      </c>
      <c r="C40" t="s">
        <v>357</v>
      </c>
      <c r="D40">
        <v>0</v>
      </c>
    </row>
    <row r="41" spans="1:4" x14ac:dyDescent="0.3">
      <c r="A41" t="s">
        <v>686</v>
      </c>
      <c r="B41" t="s">
        <v>700</v>
      </c>
      <c r="C41" t="s">
        <v>277</v>
      </c>
      <c r="D41">
        <v>0</v>
      </c>
    </row>
    <row r="42" spans="1:4" x14ac:dyDescent="0.3">
      <c r="A42" t="s">
        <v>686</v>
      </c>
      <c r="B42" t="s">
        <v>701</v>
      </c>
      <c r="C42" t="s">
        <v>314</v>
      </c>
      <c r="D42">
        <v>6</v>
      </c>
    </row>
    <row r="43" spans="1:4" x14ac:dyDescent="0.3">
      <c r="A43" t="s">
        <v>686</v>
      </c>
      <c r="B43" t="s">
        <v>702</v>
      </c>
      <c r="C43" t="s">
        <v>251</v>
      </c>
      <c r="D43">
        <v>0</v>
      </c>
    </row>
    <row r="44" spans="1:4" x14ac:dyDescent="0.3">
      <c r="A44" t="s">
        <v>686</v>
      </c>
      <c r="B44" t="s">
        <v>703</v>
      </c>
      <c r="C44" t="s">
        <v>340</v>
      </c>
      <c r="D44">
        <v>0</v>
      </c>
    </row>
    <row r="45" spans="1:4" x14ac:dyDescent="0.3">
      <c r="A45" t="s">
        <v>686</v>
      </c>
      <c r="B45" t="s">
        <v>611</v>
      </c>
      <c r="C45" t="s">
        <v>299</v>
      </c>
      <c r="D45">
        <v>0</v>
      </c>
    </row>
    <row r="46" spans="1:4" x14ac:dyDescent="0.3">
      <c r="A46" t="s">
        <v>686</v>
      </c>
      <c r="B46" t="s">
        <v>704</v>
      </c>
      <c r="C46" t="s">
        <v>306</v>
      </c>
      <c r="D46">
        <v>0</v>
      </c>
    </row>
    <row r="47" spans="1:4" x14ac:dyDescent="0.3">
      <c r="A47" t="s">
        <v>686</v>
      </c>
      <c r="B47" t="s">
        <v>705</v>
      </c>
      <c r="C47" t="s">
        <v>273</v>
      </c>
      <c r="D47">
        <v>3</v>
      </c>
    </row>
    <row r="48" spans="1:4" x14ac:dyDescent="0.3">
      <c r="A48" t="s">
        <v>686</v>
      </c>
      <c r="B48" t="s">
        <v>706</v>
      </c>
      <c r="C48" t="s">
        <v>292</v>
      </c>
      <c r="D48">
        <v>0</v>
      </c>
    </row>
    <row r="49" spans="1:4" x14ac:dyDescent="0.3">
      <c r="A49" t="s">
        <v>686</v>
      </c>
      <c r="B49" t="s">
        <v>707</v>
      </c>
      <c r="C49" t="s">
        <v>372</v>
      </c>
      <c r="D49">
        <v>11</v>
      </c>
    </row>
    <row r="50" spans="1:4" x14ac:dyDescent="0.3">
      <c r="A50" t="s">
        <v>686</v>
      </c>
      <c r="B50" t="s">
        <v>708</v>
      </c>
      <c r="C50" t="s">
        <v>295</v>
      </c>
      <c r="D50">
        <v>6</v>
      </c>
    </row>
    <row r="51" spans="1:4" x14ac:dyDescent="0.3">
      <c r="A51" t="s">
        <v>686</v>
      </c>
      <c r="B51" t="s">
        <v>709</v>
      </c>
      <c r="C51" t="s">
        <v>369</v>
      </c>
      <c r="D51">
        <v>3</v>
      </c>
    </row>
    <row r="52" spans="1:4" x14ac:dyDescent="0.3">
      <c r="A52" t="s">
        <v>686</v>
      </c>
      <c r="B52" t="s">
        <v>710</v>
      </c>
      <c r="C52" t="s">
        <v>348</v>
      </c>
      <c r="D52">
        <v>6</v>
      </c>
    </row>
    <row r="53" spans="1:4" x14ac:dyDescent="0.3">
      <c r="A53" t="s">
        <v>686</v>
      </c>
      <c r="B53" t="s">
        <v>711</v>
      </c>
      <c r="C53" t="s">
        <v>266</v>
      </c>
      <c r="D53">
        <v>0</v>
      </c>
    </row>
    <row r="54" spans="1:4" x14ac:dyDescent="0.3">
      <c r="A54" t="s">
        <v>686</v>
      </c>
      <c r="B54" t="s">
        <v>712</v>
      </c>
      <c r="C54" t="s">
        <v>270</v>
      </c>
      <c r="D54">
        <v>0</v>
      </c>
    </row>
    <row r="55" spans="1:4" x14ac:dyDescent="0.3">
      <c r="A55" t="s">
        <v>686</v>
      </c>
      <c r="B55" t="s">
        <v>713</v>
      </c>
      <c r="C55" t="s">
        <v>254</v>
      </c>
      <c r="D55">
        <v>0</v>
      </c>
    </row>
    <row r="56" spans="1:4" x14ac:dyDescent="0.3">
      <c r="A56" t="s">
        <v>686</v>
      </c>
      <c r="B56" t="s">
        <v>714</v>
      </c>
      <c r="C56" t="s">
        <v>257</v>
      </c>
      <c r="D56">
        <v>0</v>
      </c>
    </row>
    <row r="57" spans="1:4" x14ac:dyDescent="0.3">
      <c r="A57" t="s">
        <v>686</v>
      </c>
      <c r="B57" t="s">
        <v>715</v>
      </c>
      <c r="C57" t="s">
        <v>323</v>
      </c>
      <c r="D57">
        <v>6</v>
      </c>
    </row>
    <row r="58" spans="1:4" x14ac:dyDescent="0.3">
      <c r="A58" t="s">
        <v>686</v>
      </c>
      <c r="B58" t="s">
        <v>716</v>
      </c>
      <c r="C58" t="s">
        <v>351</v>
      </c>
      <c r="D58">
        <v>2</v>
      </c>
    </row>
    <row r="59" spans="1:4" x14ac:dyDescent="0.3">
      <c r="A59" t="s">
        <v>686</v>
      </c>
      <c r="B59" t="s">
        <v>717</v>
      </c>
      <c r="C59" t="s">
        <v>354</v>
      </c>
      <c r="D59">
        <v>6</v>
      </c>
    </row>
    <row r="60" spans="1:4" x14ac:dyDescent="0.3">
      <c r="A60" t="s">
        <v>718</v>
      </c>
      <c r="B60" t="s">
        <v>719</v>
      </c>
      <c r="C60" t="s">
        <v>471</v>
      </c>
      <c r="D60">
        <v>0</v>
      </c>
    </row>
    <row r="61" spans="1:4" x14ac:dyDescent="0.3">
      <c r="A61" t="s">
        <v>718</v>
      </c>
      <c r="B61" t="s">
        <v>720</v>
      </c>
      <c r="C61" t="s">
        <v>405</v>
      </c>
      <c r="D61">
        <v>2</v>
      </c>
    </row>
    <row r="62" spans="1:4" x14ac:dyDescent="0.3">
      <c r="A62" t="s">
        <v>718</v>
      </c>
      <c r="B62" t="s">
        <v>721</v>
      </c>
      <c r="C62" t="s">
        <v>436</v>
      </c>
      <c r="D62">
        <v>4</v>
      </c>
    </row>
    <row r="63" spans="1:4" x14ac:dyDescent="0.3">
      <c r="A63" t="s">
        <v>718</v>
      </c>
      <c r="B63" t="s">
        <v>722</v>
      </c>
      <c r="C63" t="s">
        <v>442</v>
      </c>
      <c r="D63">
        <v>3</v>
      </c>
    </row>
    <row r="64" spans="1:4" x14ac:dyDescent="0.3">
      <c r="A64" t="s">
        <v>718</v>
      </c>
      <c r="B64" t="s">
        <v>723</v>
      </c>
      <c r="C64" t="s">
        <v>492</v>
      </c>
      <c r="D64">
        <v>11</v>
      </c>
    </row>
    <row r="65" spans="1:4" x14ac:dyDescent="0.3">
      <c r="A65" t="s">
        <v>718</v>
      </c>
      <c r="B65" t="s">
        <v>724</v>
      </c>
      <c r="C65" t="s">
        <v>390</v>
      </c>
      <c r="D65">
        <v>2</v>
      </c>
    </row>
    <row r="66" spans="1:4" x14ac:dyDescent="0.3">
      <c r="A66" t="s">
        <v>718</v>
      </c>
      <c r="B66" t="s">
        <v>725</v>
      </c>
      <c r="C66" t="s">
        <v>408</v>
      </c>
      <c r="D66">
        <v>0</v>
      </c>
    </row>
    <row r="67" spans="1:4" x14ac:dyDescent="0.3">
      <c r="A67" t="s">
        <v>718</v>
      </c>
      <c r="B67" t="s">
        <v>726</v>
      </c>
      <c r="C67" t="s">
        <v>486</v>
      </c>
      <c r="D67">
        <v>8</v>
      </c>
    </row>
    <row r="68" spans="1:4" x14ac:dyDescent="0.3">
      <c r="A68" t="s">
        <v>718</v>
      </c>
      <c r="B68" t="s">
        <v>727</v>
      </c>
      <c r="C68" t="s">
        <v>460</v>
      </c>
      <c r="D68">
        <v>3</v>
      </c>
    </row>
    <row r="69" spans="1:4" x14ac:dyDescent="0.3">
      <c r="A69" t="s">
        <v>718</v>
      </c>
      <c r="B69" t="s">
        <v>728</v>
      </c>
      <c r="C69" t="s">
        <v>426</v>
      </c>
      <c r="D69">
        <v>3</v>
      </c>
    </row>
    <row r="70" spans="1:4" x14ac:dyDescent="0.3">
      <c r="A70" t="s">
        <v>718</v>
      </c>
      <c r="B70" t="s">
        <v>729</v>
      </c>
      <c r="C70" t="s">
        <v>504</v>
      </c>
      <c r="D70">
        <v>9</v>
      </c>
    </row>
    <row r="71" spans="1:4" x14ac:dyDescent="0.3">
      <c r="A71" t="s">
        <v>718</v>
      </c>
      <c r="B71" t="s">
        <v>730</v>
      </c>
      <c r="C71" t="s">
        <v>468</v>
      </c>
      <c r="D71">
        <v>9</v>
      </c>
    </row>
    <row r="72" spans="1:4" x14ac:dyDescent="0.3">
      <c r="A72" t="s">
        <v>718</v>
      </c>
      <c r="B72" t="s">
        <v>731</v>
      </c>
      <c r="C72" t="s">
        <v>480</v>
      </c>
      <c r="D72">
        <v>5</v>
      </c>
    </row>
    <row r="73" spans="1:4" x14ac:dyDescent="0.3">
      <c r="A73" t="s">
        <v>718</v>
      </c>
      <c r="B73" t="s">
        <v>732</v>
      </c>
      <c r="C73" t="s">
        <v>393</v>
      </c>
      <c r="D73">
        <v>2</v>
      </c>
    </row>
    <row r="74" spans="1:4" x14ac:dyDescent="0.3">
      <c r="A74" t="s">
        <v>718</v>
      </c>
      <c r="B74" t="s">
        <v>733</v>
      </c>
      <c r="C74" t="s">
        <v>445</v>
      </c>
      <c r="D74">
        <v>3</v>
      </c>
    </row>
    <row r="75" spans="1:4" x14ac:dyDescent="0.3">
      <c r="A75" t="s">
        <v>718</v>
      </c>
      <c r="B75" t="s">
        <v>734</v>
      </c>
      <c r="C75" t="s">
        <v>429</v>
      </c>
      <c r="D75">
        <v>6</v>
      </c>
    </row>
    <row r="76" spans="1:4" x14ac:dyDescent="0.3">
      <c r="A76" t="s">
        <v>718</v>
      </c>
      <c r="B76" t="s">
        <v>735</v>
      </c>
      <c r="C76" t="s">
        <v>419</v>
      </c>
      <c r="D76">
        <v>0</v>
      </c>
    </row>
    <row r="77" spans="1:4" x14ac:dyDescent="0.3">
      <c r="A77" t="s">
        <v>718</v>
      </c>
      <c r="B77" t="s">
        <v>736</v>
      </c>
      <c r="C77" t="s">
        <v>454</v>
      </c>
      <c r="D77">
        <v>3</v>
      </c>
    </row>
    <row r="78" spans="1:4" x14ac:dyDescent="0.3">
      <c r="A78" t="s">
        <v>718</v>
      </c>
      <c r="B78" t="s">
        <v>737</v>
      </c>
      <c r="C78" t="s">
        <v>414</v>
      </c>
      <c r="D78">
        <v>5</v>
      </c>
    </row>
    <row r="79" spans="1:4" x14ac:dyDescent="0.3">
      <c r="A79" t="s">
        <v>718</v>
      </c>
      <c r="B79" t="s">
        <v>618</v>
      </c>
      <c r="C79" t="s">
        <v>483</v>
      </c>
      <c r="D79">
        <v>8</v>
      </c>
    </row>
    <row r="80" spans="1:4" x14ac:dyDescent="0.3">
      <c r="A80" t="s">
        <v>718</v>
      </c>
      <c r="B80" t="s">
        <v>738</v>
      </c>
      <c r="C80" t="s">
        <v>457</v>
      </c>
      <c r="D80">
        <v>5</v>
      </c>
    </row>
    <row r="81" spans="1:4" x14ac:dyDescent="0.3">
      <c r="A81" t="s">
        <v>718</v>
      </c>
      <c r="B81" t="s">
        <v>739</v>
      </c>
      <c r="C81" t="s">
        <v>499</v>
      </c>
      <c r="D81">
        <v>5</v>
      </c>
    </row>
    <row r="82" spans="1:4" x14ac:dyDescent="0.3">
      <c r="A82" t="s">
        <v>718</v>
      </c>
      <c r="B82" t="s">
        <v>740</v>
      </c>
      <c r="C82" t="s">
        <v>396</v>
      </c>
      <c r="D82">
        <v>0</v>
      </c>
    </row>
    <row r="83" spans="1:4" x14ac:dyDescent="0.3">
      <c r="A83" t="s">
        <v>718</v>
      </c>
      <c r="B83" t="s">
        <v>741</v>
      </c>
      <c r="C83" t="s">
        <v>402</v>
      </c>
      <c r="D83">
        <v>0</v>
      </c>
    </row>
    <row r="84" spans="1:4" x14ac:dyDescent="0.3">
      <c r="A84" t="s">
        <v>718</v>
      </c>
      <c r="B84" t="s">
        <v>742</v>
      </c>
      <c r="C84" t="s">
        <v>423</v>
      </c>
      <c r="D84">
        <v>0</v>
      </c>
    </row>
    <row r="85" spans="1:4" x14ac:dyDescent="0.3">
      <c r="A85" t="s">
        <v>718</v>
      </c>
      <c r="B85" t="s">
        <v>743</v>
      </c>
      <c r="C85" t="s">
        <v>439</v>
      </c>
      <c r="D85">
        <v>4</v>
      </c>
    </row>
    <row r="86" spans="1:4" x14ac:dyDescent="0.3">
      <c r="A86" t="s">
        <v>718</v>
      </c>
      <c r="B86" t="s">
        <v>614</v>
      </c>
      <c r="C86" t="s">
        <v>451</v>
      </c>
      <c r="D86">
        <v>3</v>
      </c>
    </row>
    <row r="87" spans="1:4" x14ac:dyDescent="0.3">
      <c r="A87" t="s">
        <v>718</v>
      </c>
      <c r="B87" t="s">
        <v>636</v>
      </c>
      <c r="C87" t="s">
        <v>399</v>
      </c>
      <c r="D87">
        <v>7</v>
      </c>
    </row>
    <row r="88" spans="1:4" x14ac:dyDescent="0.3">
      <c r="A88" t="s">
        <v>718</v>
      </c>
      <c r="B88" t="s">
        <v>744</v>
      </c>
      <c r="C88" t="s">
        <v>464</v>
      </c>
      <c r="D88">
        <v>4</v>
      </c>
    </row>
    <row r="89" spans="1:4" x14ac:dyDescent="0.3">
      <c r="A89" t="s">
        <v>718</v>
      </c>
      <c r="B89" t="s">
        <v>745</v>
      </c>
      <c r="C89" t="s">
        <v>489</v>
      </c>
      <c r="D89">
        <v>8</v>
      </c>
    </row>
    <row r="90" spans="1:4" x14ac:dyDescent="0.3">
      <c r="A90" t="s">
        <v>718</v>
      </c>
      <c r="B90" t="s">
        <v>622</v>
      </c>
      <c r="C90" t="s">
        <v>411</v>
      </c>
      <c r="D90">
        <v>0</v>
      </c>
    </row>
    <row r="91" spans="1:4" x14ac:dyDescent="0.3">
      <c r="A91" t="s">
        <v>746</v>
      </c>
      <c r="B91" t="s">
        <v>747</v>
      </c>
      <c r="C91" t="s">
        <v>529</v>
      </c>
      <c r="D91">
        <v>0</v>
      </c>
    </row>
    <row r="92" spans="1:4" x14ac:dyDescent="0.3">
      <c r="A92" t="s">
        <v>746</v>
      </c>
      <c r="B92" t="s">
        <v>748</v>
      </c>
      <c r="C92" t="s">
        <v>544</v>
      </c>
      <c r="D92">
        <v>0</v>
      </c>
    </row>
    <row r="93" spans="1:4" x14ac:dyDescent="0.3">
      <c r="A93" t="s">
        <v>746</v>
      </c>
      <c r="B93" t="s">
        <v>749</v>
      </c>
      <c r="C93" t="s">
        <v>532</v>
      </c>
      <c r="D93">
        <v>0</v>
      </c>
    </row>
    <row r="94" spans="1:4" x14ac:dyDescent="0.3">
      <c r="A94" t="s">
        <v>746</v>
      </c>
      <c r="B94" t="s">
        <v>750</v>
      </c>
      <c r="C94" t="s">
        <v>520</v>
      </c>
      <c r="D94">
        <v>3</v>
      </c>
    </row>
    <row r="95" spans="1:4" x14ac:dyDescent="0.3">
      <c r="A95" t="s">
        <v>746</v>
      </c>
      <c r="B95" t="s">
        <v>751</v>
      </c>
      <c r="C95" t="s">
        <v>541</v>
      </c>
      <c r="D95">
        <v>0</v>
      </c>
    </row>
    <row r="96" spans="1:4" x14ac:dyDescent="0.3">
      <c r="A96" t="s">
        <v>746</v>
      </c>
      <c r="B96" t="s">
        <v>752</v>
      </c>
      <c r="C96" t="s">
        <v>523</v>
      </c>
      <c r="D96">
        <v>0</v>
      </c>
    </row>
    <row r="97" spans="1:4" x14ac:dyDescent="0.3">
      <c r="A97" t="s">
        <v>746</v>
      </c>
      <c r="B97" t="s">
        <v>753</v>
      </c>
      <c r="C97" t="s">
        <v>547</v>
      </c>
      <c r="D97">
        <v>0</v>
      </c>
    </row>
    <row r="98" spans="1:4" x14ac:dyDescent="0.3">
      <c r="A98" t="s">
        <v>746</v>
      </c>
      <c r="B98" t="s">
        <v>754</v>
      </c>
      <c r="C98" t="s">
        <v>570</v>
      </c>
      <c r="D98">
        <v>6</v>
      </c>
    </row>
    <row r="99" spans="1:4" x14ac:dyDescent="0.3">
      <c r="A99" t="s">
        <v>746</v>
      </c>
      <c r="B99" t="s">
        <v>755</v>
      </c>
      <c r="C99" t="s">
        <v>553</v>
      </c>
      <c r="D99">
        <v>4</v>
      </c>
    </row>
    <row r="100" spans="1:4" x14ac:dyDescent="0.3">
      <c r="A100" t="s">
        <v>746</v>
      </c>
      <c r="B100" t="s">
        <v>756</v>
      </c>
      <c r="C100" t="s">
        <v>535</v>
      </c>
      <c r="D100">
        <v>0</v>
      </c>
    </row>
    <row r="101" spans="1:4" x14ac:dyDescent="0.3">
      <c r="A101" t="s">
        <v>746</v>
      </c>
      <c r="B101" t="s">
        <v>757</v>
      </c>
      <c r="C101" t="s">
        <v>511</v>
      </c>
      <c r="D101">
        <v>0</v>
      </c>
    </row>
    <row r="102" spans="1:4" x14ac:dyDescent="0.3">
      <c r="A102" t="s">
        <v>746</v>
      </c>
      <c r="B102" t="s">
        <v>758</v>
      </c>
      <c r="C102" t="s">
        <v>556</v>
      </c>
      <c r="D102">
        <v>6</v>
      </c>
    </row>
    <row r="103" spans="1:4" x14ac:dyDescent="0.3">
      <c r="A103" t="s">
        <v>746</v>
      </c>
      <c r="B103" t="s">
        <v>759</v>
      </c>
      <c r="C103" t="s">
        <v>573</v>
      </c>
      <c r="D103">
        <v>3</v>
      </c>
    </row>
    <row r="104" spans="1:4" x14ac:dyDescent="0.3">
      <c r="A104" t="s">
        <v>746</v>
      </c>
      <c r="B104" t="s">
        <v>760</v>
      </c>
      <c r="C104" t="s">
        <v>526</v>
      </c>
      <c r="D104">
        <v>0</v>
      </c>
    </row>
    <row r="105" spans="1:4" x14ac:dyDescent="0.3">
      <c r="A105" t="s">
        <v>746</v>
      </c>
      <c r="B105" t="s">
        <v>761</v>
      </c>
      <c r="C105" t="s">
        <v>567</v>
      </c>
      <c r="D105">
        <v>6</v>
      </c>
    </row>
    <row r="106" spans="1:4" x14ac:dyDescent="0.3">
      <c r="A106" t="s">
        <v>746</v>
      </c>
      <c r="B106" t="s">
        <v>762</v>
      </c>
      <c r="C106" t="s">
        <v>538</v>
      </c>
      <c r="D106">
        <v>0</v>
      </c>
    </row>
    <row r="107" spans="1:4" x14ac:dyDescent="0.3">
      <c r="A107" t="s">
        <v>746</v>
      </c>
      <c r="B107" t="s">
        <v>763</v>
      </c>
      <c r="C107" t="s">
        <v>550</v>
      </c>
      <c r="D107">
        <v>6</v>
      </c>
    </row>
    <row r="108" spans="1:4" x14ac:dyDescent="0.3">
      <c r="A108" t="s">
        <v>746</v>
      </c>
      <c r="B108" t="s">
        <v>764</v>
      </c>
      <c r="C108" t="s">
        <v>514</v>
      </c>
      <c r="D108">
        <v>0</v>
      </c>
    </row>
    <row r="109" spans="1:4" x14ac:dyDescent="0.3">
      <c r="A109" t="s">
        <v>746</v>
      </c>
      <c r="B109" t="s">
        <v>765</v>
      </c>
      <c r="C109" t="s">
        <v>517</v>
      </c>
      <c r="D109">
        <v>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9"/>
  <sheetViews>
    <sheetView workbookViewId="0"/>
  </sheetViews>
  <sheetFormatPr defaultRowHeight="16.5" x14ac:dyDescent="0.3"/>
  <cols>
    <col min="1" max="1" width="24.25" customWidth="1"/>
    <col min="2" max="2" width="7.875" customWidth="1"/>
    <col min="3" max="3" width="11" customWidth="1"/>
  </cols>
  <sheetData>
    <row r="1" spans="1:3" ht="33" x14ac:dyDescent="0.3">
      <c r="A1" s="23" t="s">
        <v>3</v>
      </c>
      <c r="B1" s="23" t="s">
        <v>2</v>
      </c>
      <c r="C1" s="23" t="s">
        <v>648</v>
      </c>
    </row>
    <row r="2" spans="1:3" x14ac:dyDescent="0.3">
      <c r="A2" t="s">
        <v>766</v>
      </c>
      <c r="B2" t="s">
        <v>661</v>
      </c>
      <c r="C2">
        <v>0</v>
      </c>
    </row>
    <row r="3" spans="1:3" x14ac:dyDescent="0.3">
      <c r="A3" t="s">
        <v>767</v>
      </c>
      <c r="B3" t="s">
        <v>662</v>
      </c>
      <c r="C3">
        <v>0</v>
      </c>
    </row>
    <row r="4" spans="1:3" x14ac:dyDescent="0.3">
      <c r="A4" t="s">
        <v>768</v>
      </c>
      <c r="B4" t="s">
        <v>664</v>
      </c>
      <c r="C4">
        <v>8</v>
      </c>
    </row>
    <row r="5" spans="1:3" x14ac:dyDescent="0.3">
      <c r="A5" t="s">
        <v>769</v>
      </c>
      <c r="B5" t="s">
        <v>665</v>
      </c>
      <c r="C5">
        <v>20</v>
      </c>
    </row>
    <row r="6" spans="1:3" x14ac:dyDescent="0.3">
      <c r="A6" t="s">
        <v>770</v>
      </c>
      <c r="B6" t="s">
        <v>666</v>
      </c>
      <c r="C6">
        <v>18</v>
      </c>
    </row>
    <row r="7" spans="1:3" x14ac:dyDescent="0.3">
      <c r="A7" t="s">
        <v>771</v>
      </c>
      <c r="B7" t="s">
        <v>667</v>
      </c>
      <c r="C7">
        <v>20</v>
      </c>
    </row>
    <row r="8" spans="1:3" x14ac:dyDescent="0.3">
      <c r="A8" t="s">
        <v>772</v>
      </c>
      <c r="B8" t="s">
        <v>668</v>
      </c>
      <c r="C8">
        <v>0</v>
      </c>
    </row>
    <row r="9" spans="1:3" x14ac:dyDescent="0.3">
      <c r="A9" t="s">
        <v>773</v>
      </c>
      <c r="B9" t="s">
        <v>669</v>
      </c>
      <c r="C9">
        <v>20</v>
      </c>
    </row>
    <row r="10" spans="1:3" x14ac:dyDescent="0.3">
      <c r="A10" t="s">
        <v>774</v>
      </c>
      <c r="B10" t="s">
        <v>670</v>
      </c>
      <c r="C10">
        <v>0</v>
      </c>
    </row>
    <row r="11" spans="1:3" x14ac:dyDescent="0.3">
      <c r="A11" t="s">
        <v>775</v>
      </c>
      <c r="B11" t="s">
        <v>671</v>
      </c>
      <c r="C11">
        <v>16.8</v>
      </c>
    </row>
    <row r="12" spans="1:3" x14ac:dyDescent="0.3">
      <c r="A12" t="s">
        <v>776</v>
      </c>
      <c r="B12" t="s">
        <v>672</v>
      </c>
      <c r="C12">
        <v>20</v>
      </c>
    </row>
    <row r="13" spans="1:3" x14ac:dyDescent="0.3">
      <c r="A13" t="s">
        <v>777</v>
      </c>
      <c r="B13" t="s">
        <v>608</v>
      </c>
      <c r="C13">
        <v>5.2</v>
      </c>
    </row>
    <row r="14" spans="1:3" x14ac:dyDescent="0.3">
      <c r="A14" t="s">
        <v>778</v>
      </c>
      <c r="B14" t="s">
        <v>673</v>
      </c>
      <c r="C14">
        <v>19.2</v>
      </c>
    </row>
    <row r="15" spans="1:3" x14ac:dyDescent="0.3">
      <c r="A15" t="s">
        <v>779</v>
      </c>
      <c r="B15" t="s">
        <v>674</v>
      </c>
      <c r="C15">
        <v>18.39</v>
      </c>
    </row>
    <row r="16" spans="1:3" x14ac:dyDescent="0.3">
      <c r="A16" t="s">
        <v>780</v>
      </c>
      <c r="B16" t="s">
        <v>675</v>
      </c>
      <c r="C16">
        <v>19.600000000000001</v>
      </c>
    </row>
    <row r="17" spans="1:3" x14ac:dyDescent="0.3">
      <c r="A17" t="s">
        <v>781</v>
      </c>
      <c r="B17" t="s">
        <v>676</v>
      </c>
      <c r="C17">
        <v>19.2</v>
      </c>
    </row>
    <row r="18" spans="1:3" x14ac:dyDescent="0.3">
      <c r="A18" t="s">
        <v>782</v>
      </c>
      <c r="B18" t="s">
        <v>677</v>
      </c>
      <c r="C18">
        <v>15.2</v>
      </c>
    </row>
    <row r="19" spans="1:3" x14ac:dyDescent="0.3">
      <c r="A19" t="s">
        <v>783</v>
      </c>
      <c r="B19" t="s">
        <v>640</v>
      </c>
      <c r="C19">
        <v>19.2</v>
      </c>
    </row>
    <row r="20" spans="1:3" x14ac:dyDescent="0.3">
      <c r="A20" t="s">
        <v>784</v>
      </c>
      <c r="B20" t="s">
        <v>678</v>
      </c>
      <c r="C20">
        <v>20</v>
      </c>
    </row>
    <row r="21" spans="1:3" x14ac:dyDescent="0.3">
      <c r="A21" t="s">
        <v>785</v>
      </c>
      <c r="B21" t="s">
        <v>679</v>
      </c>
      <c r="C21">
        <v>0</v>
      </c>
    </row>
    <row r="22" spans="1:3" x14ac:dyDescent="0.3">
      <c r="A22" t="s">
        <v>786</v>
      </c>
      <c r="B22" t="s">
        <v>680</v>
      </c>
      <c r="C22">
        <v>20</v>
      </c>
    </row>
    <row r="23" spans="1:3" x14ac:dyDescent="0.3">
      <c r="A23" t="s">
        <v>787</v>
      </c>
      <c r="B23" t="s">
        <v>681</v>
      </c>
      <c r="C23">
        <v>16</v>
      </c>
    </row>
    <row r="24" spans="1:3" x14ac:dyDescent="0.3">
      <c r="A24" t="s">
        <v>788</v>
      </c>
      <c r="B24" t="s">
        <v>682</v>
      </c>
      <c r="C24">
        <v>18.8</v>
      </c>
    </row>
    <row r="25" spans="1:3" x14ac:dyDescent="0.3">
      <c r="A25" t="s">
        <v>789</v>
      </c>
      <c r="B25" t="s">
        <v>683</v>
      </c>
      <c r="C25">
        <v>13.2</v>
      </c>
    </row>
    <row r="26" spans="1:3" x14ac:dyDescent="0.3">
      <c r="A26" t="s">
        <v>790</v>
      </c>
      <c r="B26" t="s">
        <v>684</v>
      </c>
      <c r="C26">
        <v>19.600000000000001</v>
      </c>
    </row>
    <row r="27" spans="1:3" x14ac:dyDescent="0.3">
      <c r="A27" t="s">
        <v>791</v>
      </c>
      <c r="B27" t="s">
        <v>685</v>
      </c>
      <c r="C27">
        <v>14.8</v>
      </c>
    </row>
    <row r="28" spans="1:3" x14ac:dyDescent="0.3">
      <c r="A28" t="s">
        <v>792</v>
      </c>
      <c r="B28" t="s">
        <v>644</v>
      </c>
      <c r="C28">
        <v>18.8</v>
      </c>
    </row>
    <row r="29" spans="1:3" x14ac:dyDescent="0.3">
      <c r="A29" t="s">
        <v>793</v>
      </c>
      <c r="B29" t="s">
        <v>688</v>
      </c>
      <c r="C29">
        <v>9.6</v>
      </c>
    </row>
    <row r="30" spans="1:3" x14ac:dyDescent="0.3">
      <c r="A30" t="s">
        <v>794</v>
      </c>
      <c r="B30" t="s">
        <v>689</v>
      </c>
      <c r="C30">
        <v>12.8</v>
      </c>
    </row>
    <row r="31" spans="1:3" x14ac:dyDescent="0.3">
      <c r="A31" t="s">
        <v>795</v>
      </c>
      <c r="B31" t="s">
        <v>690</v>
      </c>
      <c r="C31">
        <v>19.600000000000001</v>
      </c>
    </row>
    <row r="32" spans="1:3" x14ac:dyDescent="0.3">
      <c r="A32" t="s">
        <v>796</v>
      </c>
      <c r="B32" t="s">
        <v>691</v>
      </c>
      <c r="C32">
        <v>10</v>
      </c>
    </row>
    <row r="33" spans="1:3" x14ac:dyDescent="0.3">
      <c r="A33" t="s">
        <v>797</v>
      </c>
      <c r="B33" t="s">
        <v>692</v>
      </c>
      <c r="C33">
        <v>18.39</v>
      </c>
    </row>
    <row r="34" spans="1:3" x14ac:dyDescent="0.3">
      <c r="A34" t="s">
        <v>798</v>
      </c>
      <c r="B34" t="s">
        <v>693</v>
      </c>
      <c r="C34">
        <v>18.39</v>
      </c>
    </row>
    <row r="35" spans="1:3" x14ac:dyDescent="0.3">
      <c r="A35" t="s">
        <v>799</v>
      </c>
      <c r="B35" t="s">
        <v>694</v>
      </c>
      <c r="C35">
        <v>18.8</v>
      </c>
    </row>
    <row r="36" spans="1:3" x14ac:dyDescent="0.3">
      <c r="A36" t="s">
        <v>800</v>
      </c>
      <c r="B36" t="s">
        <v>695</v>
      </c>
      <c r="C36">
        <v>20</v>
      </c>
    </row>
    <row r="37" spans="1:3" x14ac:dyDescent="0.3">
      <c r="A37" t="s">
        <v>801</v>
      </c>
      <c r="B37" t="s">
        <v>696</v>
      </c>
      <c r="C37">
        <v>18.39</v>
      </c>
    </row>
    <row r="38" spans="1:3" x14ac:dyDescent="0.3">
      <c r="A38" t="s">
        <v>802</v>
      </c>
      <c r="B38" t="s">
        <v>697</v>
      </c>
      <c r="C38">
        <v>18.8</v>
      </c>
    </row>
    <row r="39" spans="1:3" x14ac:dyDescent="0.3">
      <c r="A39" t="s">
        <v>803</v>
      </c>
      <c r="B39" t="s">
        <v>698</v>
      </c>
      <c r="C39">
        <v>18.8</v>
      </c>
    </row>
    <row r="40" spans="1:3" x14ac:dyDescent="0.3">
      <c r="A40" t="s">
        <v>804</v>
      </c>
      <c r="B40" t="s">
        <v>699</v>
      </c>
      <c r="C40">
        <v>18.8</v>
      </c>
    </row>
    <row r="41" spans="1:3" x14ac:dyDescent="0.3">
      <c r="A41" t="s">
        <v>805</v>
      </c>
      <c r="B41" t="s">
        <v>700</v>
      </c>
      <c r="C41">
        <v>19.600000000000001</v>
      </c>
    </row>
    <row r="42" spans="1:3" x14ac:dyDescent="0.3">
      <c r="A42" t="s">
        <v>806</v>
      </c>
      <c r="B42" t="s">
        <v>701</v>
      </c>
      <c r="C42">
        <v>12.8</v>
      </c>
    </row>
    <row r="43" spans="1:3" x14ac:dyDescent="0.3">
      <c r="A43" t="s">
        <v>807</v>
      </c>
      <c r="B43" t="s">
        <v>702</v>
      </c>
      <c r="C43">
        <v>14</v>
      </c>
    </row>
    <row r="44" spans="1:3" x14ac:dyDescent="0.3">
      <c r="A44" t="s">
        <v>808</v>
      </c>
      <c r="B44" t="s">
        <v>703</v>
      </c>
      <c r="C44">
        <v>18.8</v>
      </c>
    </row>
    <row r="45" spans="1:3" x14ac:dyDescent="0.3">
      <c r="A45" t="s">
        <v>809</v>
      </c>
      <c r="B45" t="s">
        <v>611</v>
      </c>
      <c r="C45">
        <v>18.8</v>
      </c>
    </row>
    <row r="46" spans="1:3" x14ac:dyDescent="0.3">
      <c r="A46" t="s">
        <v>810</v>
      </c>
      <c r="B46" t="s">
        <v>704</v>
      </c>
      <c r="C46">
        <v>20</v>
      </c>
    </row>
    <row r="47" spans="1:3" x14ac:dyDescent="0.3">
      <c r="A47" t="s">
        <v>811</v>
      </c>
      <c r="B47" t="s">
        <v>705</v>
      </c>
      <c r="C47">
        <v>18.8</v>
      </c>
    </row>
    <row r="48" spans="1:3" x14ac:dyDescent="0.3">
      <c r="A48" t="s">
        <v>812</v>
      </c>
      <c r="B48" t="s">
        <v>706</v>
      </c>
      <c r="C48">
        <v>18.39</v>
      </c>
    </row>
    <row r="49" spans="1:3" x14ac:dyDescent="0.3">
      <c r="A49" t="s">
        <v>813</v>
      </c>
      <c r="B49" t="s">
        <v>707</v>
      </c>
      <c r="C49">
        <v>19.600000000000001</v>
      </c>
    </row>
    <row r="50" spans="1:3" x14ac:dyDescent="0.3">
      <c r="A50" t="s">
        <v>814</v>
      </c>
      <c r="B50" t="s">
        <v>708</v>
      </c>
      <c r="C50">
        <v>18.8</v>
      </c>
    </row>
    <row r="51" spans="1:3" x14ac:dyDescent="0.3">
      <c r="A51" t="s">
        <v>815</v>
      </c>
      <c r="B51" t="s">
        <v>709</v>
      </c>
      <c r="C51">
        <v>17.600000000000001</v>
      </c>
    </row>
    <row r="52" spans="1:3" x14ac:dyDescent="0.3">
      <c r="A52" t="s">
        <v>816</v>
      </c>
      <c r="B52" t="s">
        <v>710</v>
      </c>
      <c r="C52">
        <v>19.600000000000001</v>
      </c>
    </row>
    <row r="53" spans="1:3" x14ac:dyDescent="0.3">
      <c r="A53" t="s">
        <v>817</v>
      </c>
      <c r="B53" t="s">
        <v>711</v>
      </c>
      <c r="C53">
        <v>19.600000000000001</v>
      </c>
    </row>
    <row r="54" spans="1:3" x14ac:dyDescent="0.3">
      <c r="A54" t="s">
        <v>818</v>
      </c>
      <c r="B54" t="s">
        <v>712</v>
      </c>
      <c r="C54">
        <v>16</v>
      </c>
    </row>
    <row r="55" spans="1:3" x14ac:dyDescent="0.3">
      <c r="A55" t="s">
        <v>819</v>
      </c>
      <c r="B55" t="s">
        <v>713</v>
      </c>
      <c r="C55">
        <v>19.600000000000001</v>
      </c>
    </row>
    <row r="56" spans="1:3" x14ac:dyDescent="0.3">
      <c r="A56" t="s">
        <v>820</v>
      </c>
      <c r="B56" t="s">
        <v>714</v>
      </c>
      <c r="C56">
        <v>18</v>
      </c>
    </row>
    <row r="57" spans="1:3" x14ac:dyDescent="0.3">
      <c r="A57" t="s">
        <v>821</v>
      </c>
      <c r="B57" t="s">
        <v>715</v>
      </c>
      <c r="C57">
        <v>16.8</v>
      </c>
    </row>
    <row r="58" spans="1:3" x14ac:dyDescent="0.3">
      <c r="A58" t="s">
        <v>822</v>
      </c>
      <c r="B58" t="s">
        <v>716</v>
      </c>
      <c r="C58">
        <v>17.600000000000001</v>
      </c>
    </row>
    <row r="59" spans="1:3" x14ac:dyDescent="0.3">
      <c r="A59" t="s">
        <v>823</v>
      </c>
      <c r="B59" t="s">
        <v>717</v>
      </c>
      <c r="C59">
        <v>19.600000000000001</v>
      </c>
    </row>
    <row r="60" spans="1:3" x14ac:dyDescent="0.3">
      <c r="A60" t="s">
        <v>824</v>
      </c>
      <c r="B60" t="s">
        <v>719</v>
      </c>
      <c r="C60">
        <v>18.39</v>
      </c>
    </row>
    <row r="61" spans="1:3" x14ac:dyDescent="0.3">
      <c r="A61" t="s">
        <v>825</v>
      </c>
      <c r="B61" t="s">
        <v>720</v>
      </c>
      <c r="C61">
        <v>20</v>
      </c>
    </row>
    <row r="62" spans="1:3" x14ac:dyDescent="0.3">
      <c r="A62" t="s">
        <v>826</v>
      </c>
      <c r="B62" t="s">
        <v>721</v>
      </c>
      <c r="C62">
        <v>16</v>
      </c>
    </row>
    <row r="63" spans="1:3" x14ac:dyDescent="0.3">
      <c r="A63" t="s">
        <v>827</v>
      </c>
      <c r="B63" t="s">
        <v>722</v>
      </c>
      <c r="C63">
        <v>19.600000000000001</v>
      </c>
    </row>
    <row r="64" spans="1:3" x14ac:dyDescent="0.3">
      <c r="A64" t="s">
        <v>828</v>
      </c>
      <c r="B64" t="s">
        <v>723</v>
      </c>
      <c r="C64">
        <v>16.39</v>
      </c>
    </row>
    <row r="65" spans="1:3" x14ac:dyDescent="0.3">
      <c r="A65" t="s">
        <v>829</v>
      </c>
      <c r="B65" t="s">
        <v>724</v>
      </c>
      <c r="C65">
        <v>18.39</v>
      </c>
    </row>
    <row r="66" spans="1:3" x14ac:dyDescent="0.3">
      <c r="A66" t="s">
        <v>830</v>
      </c>
      <c r="B66" t="s">
        <v>725</v>
      </c>
      <c r="C66">
        <v>16.39</v>
      </c>
    </row>
    <row r="67" spans="1:3" x14ac:dyDescent="0.3">
      <c r="A67" t="s">
        <v>831</v>
      </c>
      <c r="B67" t="s">
        <v>726</v>
      </c>
      <c r="C67">
        <v>19.2</v>
      </c>
    </row>
    <row r="68" spans="1:3" x14ac:dyDescent="0.3">
      <c r="A68" t="s">
        <v>832</v>
      </c>
      <c r="B68" t="s">
        <v>727</v>
      </c>
      <c r="C68">
        <v>17.2</v>
      </c>
    </row>
    <row r="69" spans="1:3" x14ac:dyDescent="0.3">
      <c r="A69" t="s">
        <v>833</v>
      </c>
      <c r="B69" t="s">
        <v>728</v>
      </c>
      <c r="C69">
        <v>19.2</v>
      </c>
    </row>
    <row r="70" spans="1:3" x14ac:dyDescent="0.3">
      <c r="A70" t="s">
        <v>834</v>
      </c>
      <c r="B70" t="s">
        <v>729</v>
      </c>
      <c r="C70">
        <v>15.2</v>
      </c>
    </row>
    <row r="71" spans="1:3" x14ac:dyDescent="0.3">
      <c r="A71" t="s">
        <v>835</v>
      </c>
      <c r="B71" t="s">
        <v>730</v>
      </c>
      <c r="C71">
        <v>18.8</v>
      </c>
    </row>
    <row r="72" spans="1:3" x14ac:dyDescent="0.3">
      <c r="A72" t="s">
        <v>836</v>
      </c>
      <c r="B72" t="s">
        <v>731</v>
      </c>
      <c r="C72">
        <v>19.600000000000001</v>
      </c>
    </row>
    <row r="73" spans="1:3" x14ac:dyDescent="0.3">
      <c r="A73" t="s">
        <v>837</v>
      </c>
      <c r="B73" t="s">
        <v>732</v>
      </c>
      <c r="C73">
        <v>19.2</v>
      </c>
    </row>
    <row r="74" spans="1:3" x14ac:dyDescent="0.3">
      <c r="A74" t="s">
        <v>838</v>
      </c>
      <c r="B74" t="s">
        <v>733</v>
      </c>
      <c r="C74">
        <v>19.2</v>
      </c>
    </row>
    <row r="75" spans="1:3" x14ac:dyDescent="0.3">
      <c r="A75" t="s">
        <v>839</v>
      </c>
      <c r="B75" t="s">
        <v>734</v>
      </c>
      <c r="C75">
        <v>3.2</v>
      </c>
    </row>
    <row r="76" spans="1:3" x14ac:dyDescent="0.3">
      <c r="A76" t="s">
        <v>840</v>
      </c>
      <c r="B76" t="s">
        <v>735</v>
      </c>
      <c r="C76">
        <v>19.2</v>
      </c>
    </row>
    <row r="77" spans="1:3" x14ac:dyDescent="0.3">
      <c r="A77" t="s">
        <v>841</v>
      </c>
      <c r="B77" t="s">
        <v>736</v>
      </c>
      <c r="C77">
        <v>18</v>
      </c>
    </row>
    <row r="78" spans="1:3" x14ac:dyDescent="0.3">
      <c r="A78" t="s">
        <v>842</v>
      </c>
      <c r="B78" t="s">
        <v>737</v>
      </c>
      <c r="C78">
        <v>18</v>
      </c>
    </row>
    <row r="79" spans="1:3" x14ac:dyDescent="0.3">
      <c r="A79" t="s">
        <v>843</v>
      </c>
      <c r="B79" t="s">
        <v>618</v>
      </c>
      <c r="C79">
        <v>19.2</v>
      </c>
    </row>
    <row r="80" spans="1:3" x14ac:dyDescent="0.3">
      <c r="A80" t="s">
        <v>844</v>
      </c>
      <c r="B80" t="s">
        <v>738</v>
      </c>
      <c r="C80">
        <v>17.600000000000001</v>
      </c>
    </row>
    <row r="81" spans="1:3" x14ac:dyDescent="0.3">
      <c r="A81" t="s">
        <v>845</v>
      </c>
      <c r="B81" t="s">
        <v>739</v>
      </c>
      <c r="C81">
        <v>15.6</v>
      </c>
    </row>
    <row r="82" spans="1:3" x14ac:dyDescent="0.3">
      <c r="A82" t="s">
        <v>846</v>
      </c>
      <c r="B82" t="s">
        <v>740</v>
      </c>
      <c r="C82">
        <v>18.39</v>
      </c>
    </row>
    <row r="83" spans="1:3" x14ac:dyDescent="0.3">
      <c r="A83" t="s">
        <v>847</v>
      </c>
      <c r="B83" t="s">
        <v>741</v>
      </c>
      <c r="C83">
        <v>19.2</v>
      </c>
    </row>
    <row r="84" spans="1:3" x14ac:dyDescent="0.3">
      <c r="A84" t="s">
        <v>848</v>
      </c>
      <c r="B84" t="s">
        <v>742</v>
      </c>
      <c r="C84">
        <v>19.600000000000001</v>
      </c>
    </row>
    <row r="85" spans="1:3" x14ac:dyDescent="0.3">
      <c r="A85" t="s">
        <v>849</v>
      </c>
      <c r="B85" t="s">
        <v>743</v>
      </c>
      <c r="C85">
        <v>18.39</v>
      </c>
    </row>
    <row r="86" spans="1:3" x14ac:dyDescent="0.3">
      <c r="A86" t="s">
        <v>850</v>
      </c>
      <c r="B86" t="s">
        <v>614</v>
      </c>
      <c r="C86">
        <v>18</v>
      </c>
    </row>
    <row r="87" spans="1:3" x14ac:dyDescent="0.3">
      <c r="A87" t="s">
        <v>851</v>
      </c>
      <c r="B87" t="s">
        <v>636</v>
      </c>
      <c r="C87">
        <v>18.39</v>
      </c>
    </row>
    <row r="88" spans="1:3" x14ac:dyDescent="0.3">
      <c r="A88" t="s">
        <v>852</v>
      </c>
      <c r="B88" t="s">
        <v>744</v>
      </c>
      <c r="C88">
        <v>18.39</v>
      </c>
    </row>
    <row r="89" spans="1:3" x14ac:dyDescent="0.3">
      <c r="A89" t="s">
        <v>853</v>
      </c>
      <c r="B89" t="s">
        <v>745</v>
      </c>
      <c r="C89">
        <v>19.2</v>
      </c>
    </row>
    <row r="90" spans="1:3" x14ac:dyDescent="0.3">
      <c r="A90" t="s">
        <v>854</v>
      </c>
      <c r="B90" t="s">
        <v>622</v>
      </c>
      <c r="C90">
        <v>18.8</v>
      </c>
    </row>
    <row r="91" spans="1:3" x14ac:dyDescent="0.3">
      <c r="A91" t="s">
        <v>855</v>
      </c>
      <c r="B91" t="s">
        <v>747</v>
      </c>
      <c r="C91">
        <v>2.4</v>
      </c>
    </row>
    <row r="92" spans="1:3" x14ac:dyDescent="0.3">
      <c r="A92" t="s">
        <v>856</v>
      </c>
      <c r="B92" t="s">
        <v>748</v>
      </c>
      <c r="C92">
        <v>19.600000000000001</v>
      </c>
    </row>
    <row r="93" spans="1:3" x14ac:dyDescent="0.3">
      <c r="A93" t="s">
        <v>857</v>
      </c>
      <c r="B93" t="s">
        <v>749</v>
      </c>
      <c r="C93">
        <v>20</v>
      </c>
    </row>
    <row r="94" spans="1:3" x14ac:dyDescent="0.3">
      <c r="A94" t="s">
        <v>858</v>
      </c>
      <c r="B94" t="s">
        <v>750</v>
      </c>
      <c r="C94">
        <v>19.2</v>
      </c>
    </row>
    <row r="95" spans="1:3" x14ac:dyDescent="0.3">
      <c r="A95" t="s">
        <v>859</v>
      </c>
      <c r="B95" t="s">
        <v>751</v>
      </c>
      <c r="C95">
        <v>16</v>
      </c>
    </row>
    <row r="96" spans="1:3" x14ac:dyDescent="0.3">
      <c r="A96" t="s">
        <v>860</v>
      </c>
      <c r="B96" t="s">
        <v>752</v>
      </c>
      <c r="C96">
        <v>19.2</v>
      </c>
    </row>
    <row r="97" spans="1:3" x14ac:dyDescent="0.3">
      <c r="A97" t="s">
        <v>861</v>
      </c>
      <c r="B97" t="s">
        <v>753</v>
      </c>
      <c r="C97">
        <v>19.2</v>
      </c>
    </row>
    <row r="98" spans="1:3" x14ac:dyDescent="0.3">
      <c r="A98" t="s">
        <v>862</v>
      </c>
      <c r="B98" t="s">
        <v>754</v>
      </c>
      <c r="C98">
        <v>19.2</v>
      </c>
    </row>
    <row r="99" spans="1:3" x14ac:dyDescent="0.3">
      <c r="A99" t="s">
        <v>863</v>
      </c>
      <c r="B99" t="s">
        <v>755</v>
      </c>
      <c r="C99">
        <v>18.8</v>
      </c>
    </row>
    <row r="100" spans="1:3" x14ac:dyDescent="0.3">
      <c r="A100" t="s">
        <v>864</v>
      </c>
      <c r="B100" t="s">
        <v>756</v>
      </c>
      <c r="C100">
        <v>19.2</v>
      </c>
    </row>
    <row r="101" spans="1:3" x14ac:dyDescent="0.3">
      <c r="A101" t="s">
        <v>865</v>
      </c>
      <c r="B101" t="s">
        <v>757</v>
      </c>
      <c r="C101">
        <v>1.2</v>
      </c>
    </row>
    <row r="102" spans="1:3" x14ac:dyDescent="0.3">
      <c r="A102" t="s">
        <v>866</v>
      </c>
      <c r="B102" t="s">
        <v>758</v>
      </c>
      <c r="C102">
        <v>20</v>
      </c>
    </row>
    <row r="103" spans="1:3" x14ac:dyDescent="0.3">
      <c r="A103" t="s">
        <v>867</v>
      </c>
      <c r="B103" t="s">
        <v>759</v>
      </c>
      <c r="C103">
        <v>19.600000000000001</v>
      </c>
    </row>
    <row r="104" spans="1:3" x14ac:dyDescent="0.3">
      <c r="A104" t="s">
        <v>868</v>
      </c>
      <c r="B104" t="s">
        <v>760</v>
      </c>
      <c r="C104">
        <v>19.2</v>
      </c>
    </row>
    <row r="105" spans="1:3" x14ac:dyDescent="0.3">
      <c r="A105" t="s">
        <v>869</v>
      </c>
      <c r="B105" t="s">
        <v>761</v>
      </c>
      <c r="C105">
        <v>18.8</v>
      </c>
    </row>
    <row r="106" spans="1:3" x14ac:dyDescent="0.3">
      <c r="A106" t="s">
        <v>870</v>
      </c>
      <c r="B106" t="s">
        <v>762</v>
      </c>
      <c r="C106">
        <v>19.2</v>
      </c>
    </row>
    <row r="107" spans="1:3" x14ac:dyDescent="0.3">
      <c r="A107" t="s">
        <v>871</v>
      </c>
      <c r="B107" t="s">
        <v>763</v>
      </c>
      <c r="C107">
        <v>17.2</v>
      </c>
    </row>
    <row r="108" spans="1:3" x14ac:dyDescent="0.3">
      <c r="A108" t="s">
        <v>872</v>
      </c>
      <c r="B108" t="s">
        <v>764</v>
      </c>
      <c r="C108">
        <v>20</v>
      </c>
    </row>
    <row r="109" spans="1:3" x14ac:dyDescent="0.3">
      <c r="A109" t="s">
        <v>873</v>
      </c>
      <c r="B109" t="s">
        <v>765</v>
      </c>
      <c r="C109">
        <v>19.2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workbookViewId="0"/>
  </sheetViews>
  <sheetFormatPr defaultRowHeight="16.5" x14ac:dyDescent="0.3"/>
  <cols>
    <col min="1" max="1" width="12.25" customWidth="1"/>
    <col min="2" max="2" width="23.25" customWidth="1"/>
    <col min="3" max="3" width="44.125" customWidth="1"/>
  </cols>
  <sheetData>
    <row r="1" spans="1:3" x14ac:dyDescent="0.3">
      <c r="A1" s="23" t="s">
        <v>592</v>
      </c>
      <c r="B1" s="23" t="s">
        <v>874</v>
      </c>
      <c r="C1" s="23" t="s">
        <v>659</v>
      </c>
    </row>
    <row r="2" spans="1:3" x14ac:dyDescent="0.3">
      <c r="A2" t="s">
        <v>875</v>
      </c>
      <c r="B2" t="s">
        <v>876</v>
      </c>
      <c r="C2" t="s">
        <v>877</v>
      </c>
    </row>
    <row r="3" spans="1:3" x14ac:dyDescent="0.3">
      <c r="A3" t="s">
        <v>878</v>
      </c>
      <c r="B3" t="s">
        <v>879</v>
      </c>
      <c r="C3" t="s">
        <v>880</v>
      </c>
    </row>
    <row r="4" spans="1:3" x14ac:dyDescent="0.3">
      <c r="A4" t="s">
        <v>881</v>
      </c>
      <c r="B4" t="s">
        <v>882</v>
      </c>
      <c r="C4" t="s">
        <v>883</v>
      </c>
    </row>
    <row r="5" spans="1:3" x14ac:dyDescent="0.3">
      <c r="A5" t="s">
        <v>884</v>
      </c>
      <c r="B5" t="s">
        <v>885</v>
      </c>
      <c r="C5" t="s">
        <v>886</v>
      </c>
    </row>
    <row r="6" spans="1:3" x14ac:dyDescent="0.3">
      <c r="A6" t="s">
        <v>887</v>
      </c>
      <c r="B6" t="s">
        <v>888</v>
      </c>
      <c r="C6" t="s">
        <v>889</v>
      </c>
    </row>
    <row r="7" spans="1:3" x14ac:dyDescent="0.3">
      <c r="A7" t="s">
        <v>890</v>
      </c>
      <c r="B7" t="s">
        <v>891</v>
      </c>
      <c r="C7" t="s">
        <v>892</v>
      </c>
    </row>
    <row r="8" spans="1:3" x14ac:dyDescent="0.3">
      <c r="A8" t="s">
        <v>893</v>
      </c>
      <c r="B8" t="s">
        <v>894</v>
      </c>
      <c r="C8" t="s">
        <v>895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9"/>
  <sheetViews>
    <sheetView workbookViewId="0"/>
  </sheetViews>
  <sheetFormatPr defaultRowHeight="16.5" x14ac:dyDescent="0.3"/>
  <cols>
    <col min="1" max="1" width="3.875" customWidth="1"/>
    <col min="2" max="2" width="7.875" customWidth="1"/>
    <col min="3" max="3" width="15.125" customWidth="1"/>
    <col min="4" max="4" width="11" customWidth="1"/>
    <col min="5" max="5" width="7.75" customWidth="1"/>
    <col min="6" max="7" width="11" customWidth="1"/>
    <col min="8" max="8" width="7.125" customWidth="1"/>
    <col min="9" max="9" width="13.125" customWidth="1"/>
    <col min="10" max="10" width="8.75" customWidth="1"/>
    <col min="11" max="11" width="3.875" customWidth="1"/>
    <col min="12" max="12" width="12.125" customWidth="1"/>
    <col min="13" max="13" width="25.25" customWidth="1"/>
    <col min="14" max="14" width="3.875" customWidth="1"/>
  </cols>
  <sheetData>
    <row r="1" spans="1:14" ht="33" x14ac:dyDescent="0.3">
      <c r="A1" s="23" t="s">
        <v>1</v>
      </c>
      <c r="B1" s="23" t="s">
        <v>2</v>
      </c>
      <c r="C1" s="23" t="s">
        <v>3</v>
      </c>
      <c r="D1" s="23" t="s">
        <v>63</v>
      </c>
      <c r="E1" s="23" t="s">
        <v>646</v>
      </c>
      <c r="F1" s="23" t="s">
        <v>647</v>
      </c>
      <c r="G1" s="23" t="s">
        <v>648</v>
      </c>
      <c r="H1" s="23" t="s">
        <v>649</v>
      </c>
      <c r="I1" s="23" t="s">
        <v>650</v>
      </c>
      <c r="J1" s="23" t="s">
        <v>651</v>
      </c>
      <c r="K1" s="23" t="s">
        <v>652</v>
      </c>
      <c r="L1" s="23" t="s">
        <v>4</v>
      </c>
      <c r="M1" s="23" t="s">
        <v>5</v>
      </c>
      <c r="N1" s="23" t="s">
        <v>659</v>
      </c>
    </row>
    <row r="2" spans="1:14" x14ac:dyDescent="0.3">
      <c r="A2" s="24" t="s">
        <v>896</v>
      </c>
      <c r="B2" s="24" t="s">
        <v>674</v>
      </c>
      <c r="C2" s="24" t="s">
        <v>65</v>
      </c>
      <c r="D2" s="25">
        <v>30</v>
      </c>
      <c r="E2" s="25">
        <v>0</v>
      </c>
      <c r="F2" s="25">
        <v>30</v>
      </c>
      <c r="G2" s="25">
        <v>18.39</v>
      </c>
      <c r="H2" s="25">
        <v>78.39</v>
      </c>
      <c r="I2" s="24">
        <v>1</v>
      </c>
      <c r="J2" s="24"/>
      <c r="K2" s="24" t="s">
        <v>653</v>
      </c>
      <c r="L2" s="24" t="s">
        <v>66</v>
      </c>
      <c r="M2" s="24" t="s">
        <v>67</v>
      </c>
      <c r="N2" s="24"/>
    </row>
    <row r="3" spans="1:14" x14ac:dyDescent="0.3">
      <c r="A3" s="24" t="s">
        <v>896</v>
      </c>
      <c r="B3" s="24" t="s">
        <v>680</v>
      </c>
      <c r="C3" s="24" t="s">
        <v>103</v>
      </c>
      <c r="D3" s="25">
        <v>30</v>
      </c>
      <c r="E3" s="25">
        <v>6</v>
      </c>
      <c r="F3" s="25">
        <v>26</v>
      </c>
      <c r="G3" s="25">
        <v>20</v>
      </c>
      <c r="H3" s="25">
        <v>76</v>
      </c>
      <c r="I3" s="24">
        <v>2</v>
      </c>
      <c r="J3" s="24"/>
      <c r="K3" s="24" t="s">
        <v>653</v>
      </c>
      <c r="L3" s="24" t="s">
        <v>104</v>
      </c>
      <c r="M3" s="24" t="s">
        <v>105</v>
      </c>
      <c r="N3" s="24"/>
    </row>
    <row r="4" spans="1:14" x14ac:dyDescent="0.3">
      <c r="A4" s="24" t="s">
        <v>896</v>
      </c>
      <c r="B4" s="24" t="s">
        <v>681</v>
      </c>
      <c r="C4" s="24" t="s">
        <v>132</v>
      </c>
      <c r="D4" s="25">
        <v>27.75</v>
      </c>
      <c r="E4" s="25">
        <v>0</v>
      </c>
      <c r="F4" s="25">
        <v>30</v>
      </c>
      <c r="G4" s="25">
        <v>16</v>
      </c>
      <c r="H4" s="25">
        <v>73.75</v>
      </c>
      <c r="I4" s="24">
        <v>3</v>
      </c>
      <c r="J4" s="24"/>
      <c r="K4" s="24" t="s">
        <v>653</v>
      </c>
      <c r="L4" s="24" t="s">
        <v>133</v>
      </c>
      <c r="M4" s="24" t="s">
        <v>134</v>
      </c>
      <c r="N4" s="24"/>
    </row>
    <row r="5" spans="1:14" x14ac:dyDescent="0.3">
      <c r="A5" s="24" t="s">
        <v>896</v>
      </c>
      <c r="B5" s="24" t="s">
        <v>683</v>
      </c>
      <c r="C5" s="24" t="s">
        <v>128</v>
      </c>
      <c r="D5" s="25">
        <v>29.25</v>
      </c>
      <c r="E5" s="25">
        <v>0</v>
      </c>
      <c r="F5" s="25">
        <v>30</v>
      </c>
      <c r="G5" s="25">
        <v>13.2</v>
      </c>
      <c r="H5" s="25">
        <v>72.45</v>
      </c>
      <c r="I5" s="24">
        <v>4</v>
      </c>
      <c r="J5" s="24"/>
      <c r="K5" s="24" t="s">
        <v>653</v>
      </c>
      <c r="L5" s="24" t="s">
        <v>129</v>
      </c>
      <c r="M5" s="24" t="s">
        <v>130</v>
      </c>
      <c r="N5" s="24"/>
    </row>
    <row r="6" spans="1:14" x14ac:dyDescent="0.3">
      <c r="A6" s="24" t="s">
        <v>896</v>
      </c>
      <c r="B6" s="24" t="s">
        <v>673</v>
      </c>
      <c r="C6" s="24" t="s">
        <v>138</v>
      </c>
      <c r="D6" s="25">
        <v>22.5</v>
      </c>
      <c r="E6" s="25">
        <v>3</v>
      </c>
      <c r="F6" s="25">
        <v>28</v>
      </c>
      <c r="G6" s="25">
        <v>19.2</v>
      </c>
      <c r="H6" s="25">
        <v>69.7</v>
      </c>
      <c r="I6" s="24">
        <v>5</v>
      </c>
      <c r="J6" s="24"/>
      <c r="K6" s="24" t="s">
        <v>654</v>
      </c>
      <c r="L6" s="24" t="s">
        <v>139</v>
      </c>
      <c r="M6" s="24" t="s">
        <v>140</v>
      </c>
      <c r="N6" s="24"/>
    </row>
    <row r="7" spans="1:14" x14ac:dyDescent="0.3">
      <c r="A7" s="24" t="s">
        <v>896</v>
      </c>
      <c r="B7" s="24" t="s">
        <v>682</v>
      </c>
      <c r="C7" s="24" t="s">
        <v>150</v>
      </c>
      <c r="D7" s="25">
        <v>21.75</v>
      </c>
      <c r="E7" s="25">
        <v>3</v>
      </c>
      <c r="F7" s="25">
        <v>28</v>
      </c>
      <c r="G7" s="25">
        <v>18.8</v>
      </c>
      <c r="H7" s="25">
        <v>68.55</v>
      </c>
      <c r="I7" s="24">
        <v>6</v>
      </c>
      <c r="J7" s="24"/>
      <c r="K7" s="24" t="s">
        <v>654</v>
      </c>
      <c r="L7" s="24" t="s">
        <v>151</v>
      </c>
      <c r="M7" s="24" t="s">
        <v>152</v>
      </c>
      <c r="N7" s="24"/>
    </row>
    <row r="8" spans="1:14" x14ac:dyDescent="0.3">
      <c r="A8" s="24" t="s">
        <v>896</v>
      </c>
      <c r="B8" s="24" t="s">
        <v>665</v>
      </c>
      <c r="C8" s="24" t="s">
        <v>144</v>
      </c>
      <c r="D8" s="25">
        <v>22.5</v>
      </c>
      <c r="E8" s="25">
        <v>6</v>
      </c>
      <c r="F8" s="25">
        <v>26</v>
      </c>
      <c r="G8" s="25">
        <v>20</v>
      </c>
      <c r="H8" s="25">
        <v>68.5</v>
      </c>
      <c r="I8" s="24">
        <v>7</v>
      </c>
      <c r="J8" s="24"/>
      <c r="K8" s="24" t="s">
        <v>654</v>
      </c>
      <c r="L8" s="24" t="s">
        <v>145</v>
      </c>
      <c r="M8" s="24" t="s">
        <v>146</v>
      </c>
      <c r="N8" s="24"/>
    </row>
    <row r="9" spans="1:14" x14ac:dyDescent="0.3">
      <c r="A9" s="24" t="s">
        <v>896</v>
      </c>
      <c r="B9" s="24" t="s">
        <v>667</v>
      </c>
      <c r="C9" s="24" t="s">
        <v>147</v>
      </c>
      <c r="D9" s="25">
        <v>22.5</v>
      </c>
      <c r="E9" s="25">
        <v>6</v>
      </c>
      <c r="F9" s="25">
        <v>26</v>
      </c>
      <c r="G9" s="25">
        <v>20</v>
      </c>
      <c r="H9" s="25">
        <v>68.5</v>
      </c>
      <c r="I9" s="24">
        <v>7</v>
      </c>
      <c r="J9" s="24"/>
      <c r="K9" s="24" t="s">
        <v>654</v>
      </c>
      <c r="L9" s="24" t="s">
        <v>148</v>
      </c>
      <c r="M9" s="24" t="s">
        <v>149</v>
      </c>
      <c r="N9" s="24"/>
    </row>
    <row r="10" spans="1:14" x14ac:dyDescent="0.3">
      <c r="A10" s="24" t="s">
        <v>896</v>
      </c>
      <c r="B10" s="24" t="s">
        <v>675</v>
      </c>
      <c r="C10" s="24" t="s">
        <v>154</v>
      </c>
      <c r="D10" s="25">
        <v>21.75</v>
      </c>
      <c r="E10" s="25">
        <v>6</v>
      </c>
      <c r="F10" s="25">
        <v>26</v>
      </c>
      <c r="G10" s="25">
        <v>19.600000000000001</v>
      </c>
      <c r="H10" s="25">
        <v>67.349999999999994</v>
      </c>
      <c r="I10" s="24">
        <v>9</v>
      </c>
      <c r="J10" s="24"/>
      <c r="K10" s="24" t="s">
        <v>655</v>
      </c>
      <c r="L10" s="24" t="s">
        <v>155</v>
      </c>
      <c r="M10" s="24" t="s">
        <v>156</v>
      </c>
      <c r="N10" s="24"/>
    </row>
    <row r="11" spans="1:14" x14ac:dyDescent="0.3">
      <c r="A11" s="24" t="s">
        <v>896</v>
      </c>
      <c r="B11" s="24" t="s">
        <v>671</v>
      </c>
      <c r="C11" s="24" t="s">
        <v>158</v>
      </c>
      <c r="D11" s="25">
        <v>21.75</v>
      </c>
      <c r="E11" s="25">
        <v>3</v>
      </c>
      <c r="F11" s="25">
        <v>28</v>
      </c>
      <c r="G11" s="25">
        <v>16.8</v>
      </c>
      <c r="H11" s="25">
        <v>66.55</v>
      </c>
      <c r="I11" s="24">
        <v>10</v>
      </c>
      <c r="J11" s="24"/>
      <c r="K11" s="24" t="s">
        <v>655</v>
      </c>
      <c r="L11" s="24" t="s">
        <v>159</v>
      </c>
      <c r="M11" s="24" t="s">
        <v>160</v>
      </c>
      <c r="N11" s="24"/>
    </row>
    <row r="12" spans="1:14" x14ac:dyDescent="0.3">
      <c r="A12" s="24" t="s">
        <v>896</v>
      </c>
      <c r="B12" s="24" t="s">
        <v>678</v>
      </c>
      <c r="C12" s="24" t="s">
        <v>141</v>
      </c>
      <c r="D12" s="25">
        <v>22.5</v>
      </c>
      <c r="E12" s="25">
        <v>12</v>
      </c>
      <c r="F12" s="25">
        <v>22</v>
      </c>
      <c r="G12" s="25">
        <v>20</v>
      </c>
      <c r="H12" s="25">
        <v>64.5</v>
      </c>
      <c r="I12" s="24">
        <v>11</v>
      </c>
      <c r="J12" s="24"/>
      <c r="K12" s="24" t="s">
        <v>655</v>
      </c>
      <c r="L12" s="24" t="s">
        <v>142</v>
      </c>
      <c r="M12" s="24" t="s">
        <v>143</v>
      </c>
      <c r="N12" s="24"/>
    </row>
    <row r="13" spans="1:14" x14ac:dyDescent="0.3">
      <c r="A13" s="24" t="s">
        <v>896</v>
      </c>
      <c r="B13" s="24" t="s">
        <v>684</v>
      </c>
      <c r="C13" s="24" t="s">
        <v>164</v>
      </c>
      <c r="D13" s="25">
        <v>18</v>
      </c>
      <c r="E13" s="25">
        <v>6</v>
      </c>
      <c r="F13" s="25">
        <v>26</v>
      </c>
      <c r="G13" s="25">
        <v>19.600000000000001</v>
      </c>
      <c r="H13" s="25">
        <v>63.6</v>
      </c>
      <c r="I13" s="24">
        <v>12</v>
      </c>
      <c r="J13" s="24"/>
      <c r="K13" s="24" t="s">
        <v>655</v>
      </c>
      <c r="L13" s="24" t="s">
        <v>165</v>
      </c>
      <c r="M13" s="24" t="s">
        <v>166</v>
      </c>
      <c r="N13" s="24"/>
    </row>
    <row r="14" spans="1:14" x14ac:dyDescent="0.3">
      <c r="A14" s="24" t="s">
        <v>896</v>
      </c>
      <c r="B14" s="24" t="s">
        <v>669</v>
      </c>
      <c r="C14" s="24" t="s">
        <v>192</v>
      </c>
      <c r="D14" s="25">
        <v>14.25</v>
      </c>
      <c r="E14" s="25">
        <v>6</v>
      </c>
      <c r="F14" s="25">
        <v>26</v>
      </c>
      <c r="G14" s="25">
        <v>20</v>
      </c>
      <c r="H14" s="25">
        <v>60.25</v>
      </c>
      <c r="I14" s="24">
        <v>13</v>
      </c>
      <c r="J14" s="24"/>
      <c r="K14" s="24" t="s">
        <v>655</v>
      </c>
      <c r="L14" s="24" t="s">
        <v>193</v>
      </c>
      <c r="M14" s="24" t="s">
        <v>194</v>
      </c>
      <c r="N14" s="24"/>
    </row>
    <row r="15" spans="1:14" x14ac:dyDescent="0.3">
      <c r="A15" s="24" t="s">
        <v>896</v>
      </c>
      <c r="B15" s="24" t="s">
        <v>676</v>
      </c>
      <c r="C15" s="24" t="s">
        <v>189</v>
      </c>
      <c r="D15" s="25">
        <v>15</v>
      </c>
      <c r="E15" s="25">
        <v>6</v>
      </c>
      <c r="F15" s="25">
        <v>26</v>
      </c>
      <c r="G15" s="25">
        <v>19.2</v>
      </c>
      <c r="H15" s="25">
        <v>60.2</v>
      </c>
      <c r="I15" s="24">
        <v>14</v>
      </c>
      <c r="J15" s="24"/>
      <c r="K15" s="24" t="s">
        <v>656</v>
      </c>
      <c r="L15" s="24" t="s">
        <v>190</v>
      </c>
      <c r="M15" s="24" t="s">
        <v>191</v>
      </c>
      <c r="N15" s="24"/>
    </row>
    <row r="16" spans="1:14" x14ac:dyDescent="0.3">
      <c r="A16" s="24" t="s">
        <v>896</v>
      </c>
      <c r="B16" s="24" t="s">
        <v>677</v>
      </c>
      <c r="C16" s="24" t="s">
        <v>162</v>
      </c>
      <c r="D16" s="25">
        <v>21.75</v>
      </c>
      <c r="E16" s="25">
        <v>12</v>
      </c>
      <c r="F16" s="25">
        <v>22</v>
      </c>
      <c r="G16" s="25">
        <v>15.2</v>
      </c>
      <c r="H16" s="25">
        <v>58.95</v>
      </c>
      <c r="I16" s="24">
        <v>15</v>
      </c>
      <c r="J16" s="24"/>
      <c r="K16" s="24" t="s">
        <v>656</v>
      </c>
      <c r="L16" s="24" t="s">
        <v>163</v>
      </c>
      <c r="M16" s="24"/>
      <c r="N16" s="24"/>
    </row>
    <row r="17" spans="1:14" x14ac:dyDescent="0.3">
      <c r="A17" s="24" t="s">
        <v>896</v>
      </c>
      <c r="B17" s="24" t="s">
        <v>685</v>
      </c>
      <c r="C17" s="24" t="s">
        <v>180</v>
      </c>
      <c r="D17" s="25">
        <v>15.75</v>
      </c>
      <c r="E17" s="25">
        <v>6</v>
      </c>
      <c r="F17" s="25">
        <v>26</v>
      </c>
      <c r="G17" s="25">
        <v>14.8</v>
      </c>
      <c r="H17" s="25">
        <v>56.55</v>
      </c>
      <c r="I17" s="24">
        <v>16</v>
      </c>
      <c r="J17" s="24"/>
      <c r="K17" s="24" t="s">
        <v>656</v>
      </c>
      <c r="L17" s="24" t="s">
        <v>181</v>
      </c>
      <c r="M17" s="24" t="s">
        <v>182</v>
      </c>
      <c r="N17" s="24"/>
    </row>
    <row r="18" spans="1:14" x14ac:dyDescent="0.3">
      <c r="A18" s="24" t="s">
        <v>896</v>
      </c>
      <c r="B18" s="24" t="s">
        <v>640</v>
      </c>
      <c r="C18" s="24" t="s">
        <v>204</v>
      </c>
      <c r="D18" s="25">
        <v>8.25</v>
      </c>
      <c r="E18" s="25">
        <v>3</v>
      </c>
      <c r="F18" s="25">
        <v>28</v>
      </c>
      <c r="G18" s="25">
        <v>19.2</v>
      </c>
      <c r="H18" s="25">
        <v>55.45</v>
      </c>
      <c r="I18" s="24">
        <v>17</v>
      </c>
      <c r="J18" s="24"/>
      <c r="K18" s="24" t="s">
        <v>657</v>
      </c>
      <c r="L18" s="24" t="s">
        <v>205</v>
      </c>
      <c r="M18" s="24" t="s">
        <v>206</v>
      </c>
      <c r="N18" s="24"/>
    </row>
    <row r="19" spans="1:14" x14ac:dyDescent="0.3">
      <c r="A19" s="24" t="s">
        <v>896</v>
      </c>
      <c r="B19" s="24" t="s">
        <v>608</v>
      </c>
      <c r="C19" s="24" t="s">
        <v>171</v>
      </c>
      <c r="D19" s="25">
        <v>16.5</v>
      </c>
      <c r="E19" s="25">
        <v>0</v>
      </c>
      <c r="F19" s="25">
        <v>30</v>
      </c>
      <c r="G19" s="25">
        <v>5.2</v>
      </c>
      <c r="H19" s="25">
        <v>51.7</v>
      </c>
      <c r="I19" s="24">
        <v>18</v>
      </c>
      <c r="J19" s="24"/>
      <c r="K19" s="24" t="s">
        <v>657</v>
      </c>
      <c r="L19" s="24" t="s">
        <v>172</v>
      </c>
      <c r="M19" s="24" t="s">
        <v>173</v>
      </c>
      <c r="N19" s="24"/>
    </row>
    <row r="20" spans="1:14" x14ac:dyDescent="0.3">
      <c r="A20" s="24" t="s">
        <v>896</v>
      </c>
      <c r="B20" s="24" t="s">
        <v>666</v>
      </c>
      <c r="C20" s="24" t="s">
        <v>232</v>
      </c>
      <c r="D20" s="25">
        <v>0</v>
      </c>
      <c r="E20" s="25">
        <v>12</v>
      </c>
      <c r="F20" s="25">
        <v>22</v>
      </c>
      <c r="G20" s="25">
        <v>18</v>
      </c>
      <c r="H20" s="25">
        <v>40</v>
      </c>
      <c r="I20" s="24">
        <v>19</v>
      </c>
      <c r="J20" s="24"/>
      <c r="K20" s="24" t="s">
        <v>657</v>
      </c>
      <c r="L20" s="24" t="s">
        <v>233</v>
      </c>
      <c r="M20" s="24" t="s">
        <v>234</v>
      </c>
      <c r="N20" s="24"/>
    </row>
    <row r="21" spans="1:14" x14ac:dyDescent="0.3">
      <c r="A21" s="24" t="s">
        <v>896</v>
      </c>
      <c r="B21" s="24" t="s">
        <v>664</v>
      </c>
      <c r="C21" s="24" t="s">
        <v>228</v>
      </c>
      <c r="D21" s="25">
        <v>3</v>
      </c>
      <c r="E21" s="25">
        <v>9</v>
      </c>
      <c r="F21" s="25">
        <v>24</v>
      </c>
      <c r="G21" s="25">
        <v>8</v>
      </c>
      <c r="H21" s="25">
        <v>35</v>
      </c>
      <c r="I21" s="24">
        <v>20</v>
      </c>
      <c r="J21" s="24"/>
      <c r="K21" s="24" t="s">
        <v>657</v>
      </c>
      <c r="L21" s="24" t="s">
        <v>229</v>
      </c>
      <c r="M21" s="24" t="s">
        <v>230</v>
      </c>
      <c r="N21" s="24"/>
    </row>
    <row r="22" spans="1:14" x14ac:dyDescent="0.3">
      <c r="A22" s="24" t="s">
        <v>896</v>
      </c>
      <c r="B22" s="24" t="s">
        <v>661</v>
      </c>
      <c r="C22" s="24" t="s">
        <v>195</v>
      </c>
      <c r="D22" s="25">
        <v>12</v>
      </c>
      <c r="E22" s="25">
        <v>12</v>
      </c>
      <c r="F22" s="25">
        <v>22</v>
      </c>
      <c r="G22" s="25">
        <v>0</v>
      </c>
      <c r="H22" s="25">
        <v>34</v>
      </c>
      <c r="I22" s="24">
        <v>21</v>
      </c>
      <c r="J22" s="24"/>
      <c r="K22" s="24" t="s">
        <v>657</v>
      </c>
      <c r="L22" s="24" t="s">
        <v>196</v>
      </c>
      <c r="M22" s="24" t="s">
        <v>197</v>
      </c>
      <c r="N22" s="24"/>
    </row>
    <row r="23" spans="1:14" x14ac:dyDescent="0.3">
      <c r="A23" s="24" t="s">
        <v>896</v>
      </c>
      <c r="B23" s="24" t="s">
        <v>662</v>
      </c>
      <c r="C23" s="24" t="s">
        <v>223</v>
      </c>
      <c r="D23" s="25">
        <v>7.5</v>
      </c>
      <c r="E23" s="25">
        <v>18</v>
      </c>
      <c r="F23" s="25">
        <v>0</v>
      </c>
      <c r="G23" s="25">
        <v>0</v>
      </c>
      <c r="H23" s="25">
        <v>0</v>
      </c>
      <c r="I23" s="24"/>
      <c r="J23" s="24" t="s">
        <v>658</v>
      </c>
      <c r="K23" s="24" t="s">
        <v>657</v>
      </c>
      <c r="L23" s="24" t="s">
        <v>224</v>
      </c>
      <c r="M23" s="24" t="s">
        <v>225</v>
      </c>
      <c r="N23" s="24"/>
    </row>
    <row r="24" spans="1:14" x14ac:dyDescent="0.3">
      <c r="A24" s="24" t="s">
        <v>896</v>
      </c>
      <c r="B24" s="24" t="s">
        <v>668</v>
      </c>
      <c r="C24" s="24" t="s">
        <v>235</v>
      </c>
      <c r="D24" s="25">
        <v>0</v>
      </c>
      <c r="E24" s="25">
        <v>36</v>
      </c>
      <c r="F24" s="25">
        <v>0</v>
      </c>
      <c r="G24" s="25">
        <v>0</v>
      </c>
      <c r="H24" s="25">
        <v>0</v>
      </c>
      <c r="I24" s="24"/>
      <c r="J24" s="24" t="s">
        <v>658</v>
      </c>
      <c r="K24" s="24" t="s">
        <v>657</v>
      </c>
      <c r="L24" s="24" t="s">
        <v>236</v>
      </c>
      <c r="M24" s="24"/>
      <c r="N24" s="24"/>
    </row>
    <row r="25" spans="1:14" x14ac:dyDescent="0.3">
      <c r="A25" s="24" t="s">
        <v>896</v>
      </c>
      <c r="B25" s="24" t="s">
        <v>670</v>
      </c>
      <c r="C25" s="24" t="s">
        <v>237</v>
      </c>
      <c r="D25" s="25">
        <v>0</v>
      </c>
      <c r="E25" s="25">
        <v>33</v>
      </c>
      <c r="F25" s="25">
        <v>0</v>
      </c>
      <c r="G25" s="25">
        <v>0</v>
      </c>
      <c r="H25" s="25">
        <v>0</v>
      </c>
      <c r="I25" s="24"/>
      <c r="J25" s="24" t="s">
        <v>658</v>
      </c>
      <c r="K25" s="24" t="s">
        <v>657</v>
      </c>
      <c r="L25" s="24" t="s">
        <v>238</v>
      </c>
      <c r="M25" s="24" t="s">
        <v>239</v>
      </c>
      <c r="N25" s="24"/>
    </row>
    <row r="26" spans="1:14" x14ac:dyDescent="0.3">
      <c r="A26" s="24" t="s">
        <v>896</v>
      </c>
      <c r="B26" s="24" t="s">
        <v>672</v>
      </c>
      <c r="C26" s="24" t="s">
        <v>200</v>
      </c>
      <c r="D26" s="25">
        <v>12</v>
      </c>
      <c r="E26" s="25">
        <v>18</v>
      </c>
      <c r="F26" s="25">
        <v>0</v>
      </c>
      <c r="G26" s="25">
        <v>20</v>
      </c>
      <c r="H26" s="25">
        <v>0</v>
      </c>
      <c r="I26" s="24"/>
      <c r="J26" s="24" t="s">
        <v>658</v>
      </c>
      <c r="K26" s="24" t="s">
        <v>657</v>
      </c>
      <c r="L26" s="24" t="s">
        <v>201</v>
      </c>
      <c r="M26" s="24" t="s">
        <v>202</v>
      </c>
      <c r="N26" s="24"/>
    </row>
    <row r="27" spans="1:14" x14ac:dyDescent="0.3">
      <c r="A27" s="24" t="s">
        <v>896</v>
      </c>
      <c r="B27" s="24" t="s">
        <v>679</v>
      </c>
      <c r="C27" s="24" t="s">
        <v>226</v>
      </c>
      <c r="D27" s="25">
        <v>7.5</v>
      </c>
      <c r="E27" s="25">
        <v>24</v>
      </c>
      <c r="F27" s="25">
        <v>0</v>
      </c>
      <c r="G27" s="25">
        <v>0</v>
      </c>
      <c r="H27" s="25">
        <v>0</v>
      </c>
      <c r="I27" s="24"/>
      <c r="J27" s="24" t="s">
        <v>658</v>
      </c>
      <c r="K27" s="24" t="s">
        <v>657</v>
      </c>
      <c r="L27" s="24" t="s">
        <v>227</v>
      </c>
      <c r="M27" s="24" t="s">
        <v>225</v>
      </c>
      <c r="N27" s="24"/>
    </row>
    <row r="28" spans="1:14" x14ac:dyDescent="0.3">
      <c r="A28" s="24" t="s">
        <v>897</v>
      </c>
      <c r="B28" s="24" t="s">
        <v>713</v>
      </c>
      <c r="C28" s="24" t="s">
        <v>254</v>
      </c>
      <c r="D28" s="25">
        <v>30</v>
      </c>
      <c r="E28" s="25">
        <v>0</v>
      </c>
      <c r="F28" s="25">
        <v>30</v>
      </c>
      <c r="G28" s="25">
        <v>19.600000000000001</v>
      </c>
      <c r="H28" s="25">
        <v>79.599999999999994</v>
      </c>
      <c r="I28" s="24">
        <v>1</v>
      </c>
      <c r="J28" s="24"/>
      <c r="K28" s="24" t="s">
        <v>653</v>
      </c>
      <c r="L28" s="24" t="s">
        <v>255</v>
      </c>
      <c r="M28" s="24" t="s">
        <v>256</v>
      </c>
      <c r="N28" s="24"/>
    </row>
    <row r="29" spans="1:14" x14ac:dyDescent="0.3">
      <c r="A29" s="24" t="s">
        <v>897</v>
      </c>
      <c r="B29" s="24" t="s">
        <v>690</v>
      </c>
      <c r="C29" s="24" t="s">
        <v>260</v>
      </c>
      <c r="D29" s="25">
        <v>29.4</v>
      </c>
      <c r="E29" s="25">
        <v>0</v>
      </c>
      <c r="F29" s="25">
        <v>30</v>
      </c>
      <c r="G29" s="25">
        <v>19.600000000000001</v>
      </c>
      <c r="H29" s="25">
        <v>79</v>
      </c>
      <c r="I29" s="24">
        <v>2</v>
      </c>
      <c r="J29" s="24"/>
      <c r="K29" s="24" t="s">
        <v>653</v>
      </c>
      <c r="L29" s="24" t="s">
        <v>261</v>
      </c>
      <c r="M29" s="24" t="s">
        <v>262</v>
      </c>
      <c r="N29" s="24"/>
    </row>
    <row r="30" spans="1:14" x14ac:dyDescent="0.3">
      <c r="A30" s="24" t="s">
        <v>897</v>
      </c>
      <c r="B30" s="24" t="s">
        <v>711</v>
      </c>
      <c r="C30" s="24" t="s">
        <v>266</v>
      </c>
      <c r="D30" s="25">
        <v>29.4</v>
      </c>
      <c r="E30" s="25">
        <v>0</v>
      </c>
      <c r="F30" s="25">
        <v>30</v>
      </c>
      <c r="G30" s="25">
        <v>19.600000000000001</v>
      </c>
      <c r="H30" s="25">
        <v>79</v>
      </c>
      <c r="I30" s="24">
        <v>2</v>
      </c>
      <c r="J30" s="24"/>
      <c r="K30" s="24" t="s">
        <v>653</v>
      </c>
      <c r="L30" s="24" t="s">
        <v>267</v>
      </c>
      <c r="M30" s="24" t="s">
        <v>268</v>
      </c>
      <c r="N30" s="24"/>
    </row>
    <row r="31" spans="1:14" x14ac:dyDescent="0.3">
      <c r="A31" s="24" t="s">
        <v>897</v>
      </c>
      <c r="B31" s="24" t="s">
        <v>700</v>
      </c>
      <c r="C31" s="24" t="s">
        <v>277</v>
      </c>
      <c r="D31" s="25">
        <v>28.799999999999997</v>
      </c>
      <c r="E31" s="25">
        <v>0</v>
      </c>
      <c r="F31" s="25">
        <v>30</v>
      </c>
      <c r="G31" s="25">
        <v>19.600000000000001</v>
      </c>
      <c r="H31" s="25">
        <v>78.400000000000006</v>
      </c>
      <c r="I31" s="24">
        <v>4</v>
      </c>
      <c r="J31" s="24"/>
      <c r="K31" s="24" t="s">
        <v>653</v>
      </c>
      <c r="L31" s="24" t="s">
        <v>278</v>
      </c>
      <c r="M31" s="24" t="s">
        <v>279</v>
      </c>
      <c r="N31" s="24"/>
    </row>
    <row r="32" spans="1:14" x14ac:dyDescent="0.3">
      <c r="A32" s="24" t="s">
        <v>897</v>
      </c>
      <c r="B32" s="24" t="s">
        <v>696</v>
      </c>
      <c r="C32" s="24" t="s">
        <v>240</v>
      </c>
      <c r="D32" s="25">
        <v>30</v>
      </c>
      <c r="E32" s="25">
        <v>0</v>
      </c>
      <c r="F32" s="25">
        <v>30</v>
      </c>
      <c r="G32" s="25">
        <v>18.39</v>
      </c>
      <c r="H32" s="25">
        <v>78.39</v>
      </c>
      <c r="I32" s="24">
        <v>5</v>
      </c>
      <c r="J32" s="24"/>
      <c r="K32" s="24" t="s">
        <v>653</v>
      </c>
      <c r="L32" s="24" t="s">
        <v>241</v>
      </c>
      <c r="M32" s="24" t="s">
        <v>242</v>
      </c>
      <c r="N32" s="24"/>
    </row>
    <row r="33" spans="1:14" x14ac:dyDescent="0.3">
      <c r="A33" s="24" t="s">
        <v>897</v>
      </c>
      <c r="B33" s="24" t="s">
        <v>695</v>
      </c>
      <c r="C33" s="24" t="s">
        <v>303</v>
      </c>
      <c r="D33" s="25">
        <v>28.2</v>
      </c>
      <c r="E33" s="25">
        <v>0</v>
      </c>
      <c r="F33" s="25">
        <v>30</v>
      </c>
      <c r="G33" s="25">
        <v>20</v>
      </c>
      <c r="H33" s="25">
        <v>78.2</v>
      </c>
      <c r="I33" s="24">
        <v>6</v>
      </c>
      <c r="J33" s="24"/>
      <c r="K33" s="24" t="s">
        <v>654</v>
      </c>
      <c r="L33" s="24" t="s">
        <v>304</v>
      </c>
      <c r="M33" s="24" t="s">
        <v>305</v>
      </c>
      <c r="N33" s="24"/>
    </row>
    <row r="34" spans="1:14" x14ac:dyDescent="0.3">
      <c r="A34" s="24" t="s">
        <v>897</v>
      </c>
      <c r="B34" s="24" t="s">
        <v>704</v>
      </c>
      <c r="C34" s="24" t="s">
        <v>306</v>
      </c>
      <c r="D34" s="25">
        <v>28.2</v>
      </c>
      <c r="E34" s="25">
        <v>0</v>
      </c>
      <c r="F34" s="25">
        <v>30</v>
      </c>
      <c r="G34" s="25">
        <v>20</v>
      </c>
      <c r="H34" s="25">
        <v>78.2</v>
      </c>
      <c r="I34" s="24">
        <v>6</v>
      </c>
      <c r="J34" s="24"/>
      <c r="K34" s="24" t="s">
        <v>654</v>
      </c>
      <c r="L34" s="24" t="s">
        <v>307</v>
      </c>
      <c r="M34" s="24" t="s">
        <v>308</v>
      </c>
      <c r="N34" s="24"/>
    </row>
    <row r="35" spans="1:14" x14ac:dyDescent="0.3">
      <c r="A35" s="24" t="s">
        <v>897</v>
      </c>
      <c r="B35" s="24" t="s">
        <v>714</v>
      </c>
      <c r="C35" s="24" t="s">
        <v>257</v>
      </c>
      <c r="D35" s="25">
        <v>30</v>
      </c>
      <c r="E35" s="25">
        <v>0</v>
      </c>
      <c r="F35" s="25">
        <v>30</v>
      </c>
      <c r="G35" s="25">
        <v>18</v>
      </c>
      <c r="H35" s="25">
        <v>78</v>
      </c>
      <c r="I35" s="24">
        <v>8</v>
      </c>
      <c r="J35" s="24"/>
      <c r="K35" s="24" t="s">
        <v>654</v>
      </c>
      <c r="L35" s="24" t="s">
        <v>258</v>
      </c>
      <c r="M35" s="24" t="s">
        <v>259</v>
      </c>
      <c r="N35" s="24"/>
    </row>
    <row r="36" spans="1:14" x14ac:dyDescent="0.3">
      <c r="A36" s="24" t="s">
        <v>897</v>
      </c>
      <c r="B36" s="24" t="s">
        <v>644</v>
      </c>
      <c r="C36" s="24" t="s">
        <v>281</v>
      </c>
      <c r="D36" s="25">
        <v>28.799999999999997</v>
      </c>
      <c r="E36" s="25">
        <v>0</v>
      </c>
      <c r="F36" s="25">
        <v>30</v>
      </c>
      <c r="G36" s="25">
        <v>18.8</v>
      </c>
      <c r="H36" s="25">
        <v>77.599999999999994</v>
      </c>
      <c r="I36" s="24">
        <v>9</v>
      </c>
      <c r="J36" s="24"/>
      <c r="K36" s="24" t="s">
        <v>655</v>
      </c>
      <c r="L36" s="24" t="s">
        <v>282</v>
      </c>
      <c r="M36" s="24" t="s">
        <v>283</v>
      </c>
      <c r="N36" s="24"/>
    </row>
    <row r="37" spans="1:14" x14ac:dyDescent="0.3">
      <c r="A37" s="24" t="s">
        <v>897</v>
      </c>
      <c r="B37" s="24" t="s">
        <v>698</v>
      </c>
      <c r="C37" s="24" t="s">
        <v>289</v>
      </c>
      <c r="D37" s="25">
        <v>28.799999999999997</v>
      </c>
      <c r="E37" s="25">
        <v>0</v>
      </c>
      <c r="F37" s="25">
        <v>30</v>
      </c>
      <c r="G37" s="25">
        <v>18.8</v>
      </c>
      <c r="H37" s="25">
        <v>77.599999999999994</v>
      </c>
      <c r="I37" s="24">
        <v>9</v>
      </c>
      <c r="J37" s="24"/>
      <c r="K37" s="24" t="s">
        <v>655</v>
      </c>
      <c r="L37" s="24" t="s">
        <v>290</v>
      </c>
      <c r="M37" s="24" t="s">
        <v>291</v>
      </c>
      <c r="N37" s="24"/>
    </row>
    <row r="38" spans="1:14" x14ac:dyDescent="0.3">
      <c r="A38" s="24" t="s">
        <v>897</v>
      </c>
      <c r="B38" s="24" t="s">
        <v>611</v>
      </c>
      <c r="C38" s="24" t="s">
        <v>299</v>
      </c>
      <c r="D38" s="25">
        <v>28.799999999999997</v>
      </c>
      <c r="E38" s="25">
        <v>0</v>
      </c>
      <c r="F38" s="25">
        <v>30</v>
      </c>
      <c r="G38" s="25">
        <v>18.8</v>
      </c>
      <c r="H38" s="25">
        <v>77.599999999999994</v>
      </c>
      <c r="I38" s="24">
        <v>9</v>
      </c>
      <c r="J38" s="24"/>
      <c r="K38" s="24" t="s">
        <v>655</v>
      </c>
      <c r="L38" s="24" t="s">
        <v>300</v>
      </c>
      <c r="M38" s="24" t="s">
        <v>301</v>
      </c>
      <c r="N38" s="24"/>
    </row>
    <row r="39" spans="1:14" x14ac:dyDescent="0.3">
      <c r="A39" s="24" t="s">
        <v>897</v>
      </c>
      <c r="B39" s="24" t="s">
        <v>692</v>
      </c>
      <c r="C39" s="24" t="s">
        <v>285</v>
      </c>
      <c r="D39" s="25">
        <v>28.799999999999997</v>
      </c>
      <c r="E39" s="25">
        <v>0</v>
      </c>
      <c r="F39" s="25">
        <v>30</v>
      </c>
      <c r="G39" s="25">
        <v>18.39</v>
      </c>
      <c r="H39" s="25">
        <v>77.19</v>
      </c>
      <c r="I39" s="24">
        <v>12</v>
      </c>
      <c r="J39" s="24"/>
      <c r="K39" s="24" t="s">
        <v>655</v>
      </c>
      <c r="L39" s="24" t="s">
        <v>286</v>
      </c>
      <c r="M39" s="24" t="s">
        <v>287</v>
      </c>
      <c r="N39" s="24"/>
    </row>
    <row r="40" spans="1:14" x14ac:dyDescent="0.3">
      <c r="A40" s="24" t="s">
        <v>897</v>
      </c>
      <c r="B40" s="24" t="s">
        <v>706</v>
      </c>
      <c r="C40" s="24" t="s">
        <v>292</v>
      </c>
      <c r="D40" s="25">
        <v>28.799999999999997</v>
      </c>
      <c r="E40" s="25">
        <v>0</v>
      </c>
      <c r="F40" s="25">
        <v>30</v>
      </c>
      <c r="G40" s="25">
        <v>18.39</v>
      </c>
      <c r="H40" s="25">
        <v>77.19</v>
      </c>
      <c r="I40" s="24">
        <v>12</v>
      </c>
      <c r="J40" s="24"/>
      <c r="K40" s="24" t="s">
        <v>655</v>
      </c>
      <c r="L40" s="24" t="s">
        <v>293</v>
      </c>
      <c r="M40" s="24" t="s">
        <v>294</v>
      </c>
      <c r="N40" s="24"/>
    </row>
    <row r="41" spans="1:14" x14ac:dyDescent="0.3">
      <c r="A41" s="24" t="s">
        <v>897</v>
      </c>
      <c r="B41" s="24" t="s">
        <v>694</v>
      </c>
      <c r="C41" s="24" t="s">
        <v>263</v>
      </c>
      <c r="D41" s="25">
        <v>29.4</v>
      </c>
      <c r="E41" s="25">
        <v>3</v>
      </c>
      <c r="F41" s="25">
        <v>28</v>
      </c>
      <c r="G41" s="25">
        <v>18.8</v>
      </c>
      <c r="H41" s="25">
        <v>76.2</v>
      </c>
      <c r="I41" s="24">
        <v>14</v>
      </c>
      <c r="J41" s="24"/>
      <c r="K41" s="24" t="s">
        <v>655</v>
      </c>
      <c r="L41" s="24" t="s">
        <v>264</v>
      </c>
      <c r="M41" s="24" t="s">
        <v>265</v>
      </c>
      <c r="N41" s="24"/>
    </row>
    <row r="42" spans="1:14" x14ac:dyDescent="0.3">
      <c r="A42" s="24" t="s">
        <v>897</v>
      </c>
      <c r="B42" s="24" t="s">
        <v>705</v>
      </c>
      <c r="C42" s="24" t="s">
        <v>273</v>
      </c>
      <c r="D42" s="25">
        <v>29.4</v>
      </c>
      <c r="E42" s="25">
        <v>3</v>
      </c>
      <c r="F42" s="25">
        <v>28</v>
      </c>
      <c r="G42" s="25">
        <v>18.8</v>
      </c>
      <c r="H42" s="25">
        <v>76.2</v>
      </c>
      <c r="I42" s="24">
        <v>14</v>
      </c>
      <c r="J42" s="24"/>
      <c r="K42" s="24" t="s">
        <v>655</v>
      </c>
      <c r="L42" s="24" t="s">
        <v>274</v>
      </c>
      <c r="M42" s="24" t="s">
        <v>275</v>
      </c>
      <c r="N42" s="24"/>
    </row>
    <row r="43" spans="1:14" x14ac:dyDescent="0.3">
      <c r="A43" s="24" t="s">
        <v>897</v>
      </c>
      <c r="B43" s="24" t="s">
        <v>712</v>
      </c>
      <c r="C43" s="24" t="s">
        <v>270</v>
      </c>
      <c r="D43" s="25">
        <v>29.4</v>
      </c>
      <c r="E43" s="25">
        <v>0</v>
      </c>
      <c r="F43" s="25">
        <v>30</v>
      </c>
      <c r="G43" s="25">
        <v>16</v>
      </c>
      <c r="H43" s="25">
        <v>75.400000000000006</v>
      </c>
      <c r="I43" s="24">
        <v>16</v>
      </c>
      <c r="J43" s="24"/>
      <c r="K43" s="24" t="s">
        <v>655</v>
      </c>
      <c r="L43" s="24" t="s">
        <v>271</v>
      </c>
      <c r="M43" s="24" t="s">
        <v>272</v>
      </c>
      <c r="N43" s="24"/>
    </row>
    <row r="44" spans="1:14" x14ac:dyDescent="0.3">
      <c r="A44" s="24" t="s">
        <v>897</v>
      </c>
      <c r="B44" s="24" t="s">
        <v>697</v>
      </c>
      <c r="C44" s="24" t="s">
        <v>329</v>
      </c>
      <c r="D44" s="25">
        <v>25.2</v>
      </c>
      <c r="E44" s="25">
        <v>0</v>
      </c>
      <c r="F44" s="25">
        <v>30</v>
      </c>
      <c r="G44" s="25">
        <v>18.8</v>
      </c>
      <c r="H44" s="25">
        <v>74</v>
      </c>
      <c r="I44" s="24">
        <v>17</v>
      </c>
      <c r="J44" s="24"/>
      <c r="K44" s="24" t="s">
        <v>656</v>
      </c>
      <c r="L44" s="24" t="s">
        <v>330</v>
      </c>
      <c r="M44" s="24" t="s">
        <v>331</v>
      </c>
      <c r="N44" s="24"/>
    </row>
    <row r="45" spans="1:14" x14ac:dyDescent="0.3">
      <c r="A45" s="24" t="s">
        <v>897</v>
      </c>
      <c r="B45" s="24" t="s">
        <v>702</v>
      </c>
      <c r="C45" s="24" t="s">
        <v>251</v>
      </c>
      <c r="D45" s="25">
        <v>30</v>
      </c>
      <c r="E45" s="25">
        <v>0</v>
      </c>
      <c r="F45" s="25">
        <v>30</v>
      </c>
      <c r="G45" s="25">
        <v>14</v>
      </c>
      <c r="H45" s="25">
        <v>74</v>
      </c>
      <c r="I45" s="24">
        <v>17</v>
      </c>
      <c r="J45" s="24"/>
      <c r="K45" s="24" t="s">
        <v>656</v>
      </c>
      <c r="L45" s="24" t="s">
        <v>252</v>
      </c>
      <c r="M45" s="24" t="s">
        <v>253</v>
      </c>
      <c r="N45" s="24"/>
    </row>
    <row r="46" spans="1:14" x14ac:dyDescent="0.3">
      <c r="A46" s="24" t="s">
        <v>897</v>
      </c>
      <c r="B46" s="24" t="s">
        <v>708</v>
      </c>
      <c r="C46" s="24" t="s">
        <v>295</v>
      </c>
      <c r="D46" s="25">
        <v>28.799999999999997</v>
      </c>
      <c r="E46" s="25">
        <v>6</v>
      </c>
      <c r="F46" s="25">
        <v>26</v>
      </c>
      <c r="G46" s="25">
        <v>18.8</v>
      </c>
      <c r="H46" s="25">
        <v>73.599999999999994</v>
      </c>
      <c r="I46" s="24">
        <v>19</v>
      </c>
      <c r="J46" s="24"/>
      <c r="K46" s="24" t="s">
        <v>656</v>
      </c>
      <c r="L46" s="24" t="s">
        <v>296</v>
      </c>
      <c r="M46" s="24" t="s">
        <v>297</v>
      </c>
      <c r="N46" s="24"/>
    </row>
    <row r="47" spans="1:14" x14ac:dyDescent="0.3">
      <c r="A47" s="24" t="s">
        <v>897</v>
      </c>
      <c r="B47" s="24" t="s">
        <v>703</v>
      </c>
      <c r="C47" s="24" t="s">
        <v>340</v>
      </c>
      <c r="D47" s="25">
        <v>24</v>
      </c>
      <c r="E47" s="25">
        <v>0</v>
      </c>
      <c r="F47" s="25">
        <v>30</v>
      </c>
      <c r="G47" s="25">
        <v>18.8</v>
      </c>
      <c r="H47" s="25">
        <v>72.8</v>
      </c>
      <c r="I47" s="24">
        <v>20</v>
      </c>
      <c r="J47" s="24"/>
      <c r="K47" s="24" t="s">
        <v>657</v>
      </c>
      <c r="L47" s="24" t="s">
        <v>341</v>
      </c>
      <c r="M47" s="24" t="s">
        <v>342</v>
      </c>
      <c r="N47" s="24"/>
    </row>
    <row r="48" spans="1:14" x14ac:dyDescent="0.3">
      <c r="A48" s="24" t="s">
        <v>897</v>
      </c>
      <c r="B48" s="24" t="s">
        <v>699</v>
      </c>
      <c r="C48" s="24" t="s">
        <v>357</v>
      </c>
      <c r="D48" s="25">
        <v>21.599999999999998</v>
      </c>
      <c r="E48" s="25">
        <v>0</v>
      </c>
      <c r="F48" s="25">
        <v>30</v>
      </c>
      <c r="G48" s="25">
        <v>18.8</v>
      </c>
      <c r="H48" s="25">
        <v>70.400000000000006</v>
      </c>
      <c r="I48" s="24">
        <v>21</v>
      </c>
      <c r="J48" s="24"/>
      <c r="K48" s="24" t="s">
        <v>657</v>
      </c>
      <c r="L48" s="24" t="s">
        <v>358</v>
      </c>
      <c r="M48" s="24" t="s">
        <v>359</v>
      </c>
      <c r="N48" s="24"/>
    </row>
    <row r="49" spans="1:14" x14ac:dyDescent="0.3">
      <c r="A49" s="24" t="s">
        <v>897</v>
      </c>
      <c r="B49" s="24" t="s">
        <v>693</v>
      </c>
      <c r="C49" s="24" t="s">
        <v>337</v>
      </c>
      <c r="D49" s="25">
        <v>24</v>
      </c>
      <c r="E49" s="25">
        <v>3</v>
      </c>
      <c r="F49" s="25">
        <v>28</v>
      </c>
      <c r="G49" s="25">
        <v>18.39</v>
      </c>
      <c r="H49" s="25">
        <v>70.39</v>
      </c>
      <c r="I49" s="24">
        <v>22</v>
      </c>
      <c r="J49" s="24"/>
      <c r="K49" s="24" t="s">
        <v>657</v>
      </c>
      <c r="L49" s="24" t="s">
        <v>338</v>
      </c>
      <c r="M49" s="24" t="s">
        <v>339</v>
      </c>
      <c r="N49" s="24"/>
    </row>
    <row r="50" spans="1:14" x14ac:dyDescent="0.3">
      <c r="A50" s="24" t="s">
        <v>897</v>
      </c>
      <c r="B50" s="24" t="s">
        <v>716</v>
      </c>
      <c r="C50" s="24" t="s">
        <v>351</v>
      </c>
      <c r="D50" s="25">
        <v>23.4</v>
      </c>
      <c r="E50" s="25">
        <v>2</v>
      </c>
      <c r="F50" s="25">
        <v>28.67</v>
      </c>
      <c r="G50" s="25">
        <v>17.600000000000001</v>
      </c>
      <c r="H50" s="25">
        <v>69.67</v>
      </c>
      <c r="I50" s="24">
        <v>23</v>
      </c>
      <c r="J50" s="24"/>
      <c r="K50" s="24" t="s">
        <v>657</v>
      </c>
      <c r="L50" s="24" t="s">
        <v>352</v>
      </c>
      <c r="M50" s="24" t="s">
        <v>353</v>
      </c>
      <c r="N50" s="24"/>
    </row>
    <row r="51" spans="1:14" x14ac:dyDescent="0.3">
      <c r="A51" s="24" t="s">
        <v>897</v>
      </c>
      <c r="B51" s="24" t="s">
        <v>710</v>
      </c>
      <c r="C51" s="24" t="s">
        <v>348</v>
      </c>
      <c r="D51" s="25">
        <v>23.4</v>
      </c>
      <c r="E51" s="25">
        <v>6</v>
      </c>
      <c r="F51" s="25">
        <v>26</v>
      </c>
      <c r="G51" s="25">
        <v>19.600000000000001</v>
      </c>
      <c r="H51" s="25">
        <v>69</v>
      </c>
      <c r="I51" s="24">
        <v>24</v>
      </c>
      <c r="J51" s="24"/>
      <c r="K51" s="24" t="s">
        <v>657</v>
      </c>
      <c r="L51" s="24" t="s">
        <v>349</v>
      </c>
      <c r="M51" s="24" t="s">
        <v>350</v>
      </c>
      <c r="N51" s="24"/>
    </row>
    <row r="52" spans="1:14" x14ac:dyDescent="0.3">
      <c r="A52" s="24" t="s">
        <v>897</v>
      </c>
      <c r="B52" s="24" t="s">
        <v>717</v>
      </c>
      <c r="C52" s="24" t="s">
        <v>354</v>
      </c>
      <c r="D52" s="25">
        <v>23.4</v>
      </c>
      <c r="E52" s="25">
        <v>6</v>
      </c>
      <c r="F52" s="25">
        <v>26</v>
      </c>
      <c r="G52" s="25">
        <v>19.600000000000001</v>
      </c>
      <c r="H52" s="25">
        <v>69</v>
      </c>
      <c r="I52" s="24">
        <v>24</v>
      </c>
      <c r="J52" s="24"/>
      <c r="K52" s="24" t="s">
        <v>657</v>
      </c>
      <c r="L52" s="24" t="s">
        <v>355</v>
      </c>
      <c r="M52" s="24" t="s">
        <v>356</v>
      </c>
      <c r="N52" s="24"/>
    </row>
    <row r="53" spans="1:14" x14ac:dyDescent="0.3">
      <c r="A53" s="24" t="s">
        <v>897</v>
      </c>
      <c r="B53" s="24" t="s">
        <v>715</v>
      </c>
      <c r="C53" s="24" t="s">
        <v>323</v>
      </c>
      <c r="D53" s="25">
        <v>25.2</v>
      </c>
      <c r="E53" s="25">
        <v>6</v>
      </c>
      <c r="F53" s="25">
        <v>26</v>
      </c>
      <c r="G53" s="25">
        <v>16.8</v>
      </c>
      <c r="H53" s="25">
        <v>68</v>
      </c>
      <c r="I53" s="24">
        <v>26</v>
      </c>
      <c r="J53" s="24"/>
      <c r="K53" s="24" t="s">
        <v>657</v>
      </c>
      <c r="L53" s="24" t="s">
        <v>324</v>
      </c>
      <c r="M53" s="24" t="s">
        <v>325</v>
      </c>
      <c r="N53" s="24"/>
    </row>
    <row r="54" spans="1:14" x14ac:dyDescent="0.3">
      <c r="A54" s="24" t="s">
        <v>897</v>
      </c>
      <c r="B54" s="24" t="s">
        <v>709</v>
      </c>
      <c r="C54" s="24" t="s">
        <v>369</v>
      </c>
      <c r="D54" s="25">
        <v>21.599999999999998</v>
      </c>
      <c r="E54" s="25">
        <v>3</v>
      </c>
      <c r="F54" s="25">
        <v>28</v>
      </c>
      <c r="G54" s="25">
        <v>17.600000000000001</v>
      </c>
      <c r="H54" s="25">
        <v>67.2</v>
      </c>
      <c r="I54" s="24">
        <v>27</v>
      </c>
      <c r="J54" s="24"/>
      <c r="K54" s="24" t="s">
        <v>657</v>
      </c>
      <c r="L54" s="24" t="s">
        <v>370</v>
      </c>
      <c r="M54" s="24" t="s">
        <v>371</v>
      </c>
      <c r="N54" s="24"/>
    </row>
    <row r="55" spans="1:14" x14ac:dyDescent="0.3">
      <c r="A55" s="24" t="s">
        <v>897</v>
      </c>
      <c r="B55" s="24" t="s">
        <v>689</v>
      </c>
      <c r="C55" s="24" t="s">
        <v>309</v>
      </c>
      <c r="D55" s="25">
        <v>27.599999999999998</v>
      </c>
      <c r="E55" s="25">
        <v>6</v>
      </c>
      <c r="F55" s="25">
        <v>26</v>
      </c>
      <c r="G55" s="25">
        <v>12.8</v>
      </c>
      <c r="H55" s="25">
        <v>66.400000000000006</v>
      </c>
      <c r="I55" s="24">
        <v>28</v>
      </c>
      <c r="J55" s="24"/>
      <c r="K55" s="24" t="s">
        <v>657</v>
      </c>
      <c r="L55" s="24" t="s">
        <v>310</v>
      </c>
      <c r="M55" s="24" t="s">
        <v>311</v>
      </c>
      <c r="N55" s="24"/>
    </row>
    <row r="56" spans="1:14" x14ac:dyDescent="0.3">
      <c r="A56" s="24" t="s">
        <v>897</v>
      </c>
      <c r="B56" s="24" t="s">
        <v>701</v>
      </c>
      <c r="C56" s="24" t="s">
        <v>314</v>
      </c>
      <c r="D56" s="25">
        <v>27.599999999999998</v>
      </c>
      <c r="E56" s="25">
        <v>6</v>
      </c>
      <c r="F56" s="25">
        <v>26</v>
      </c>
      <c r="G56" s="25">
        <v>12.8</v>
      </c>
      <c r="H56" s="25">
        <v>66.400000000000006</v>
      </c>
      <c r="I56" s="24">
        <v>28</v>
      </c>
      <c r="J56" s="24"/>
      <c r="K56" s="24" t="s">
        <v>657</v>
      </c>
      <c r="L56" s="24" t="s">
        <v>315</v>
      </c>
      <c r="M56" s="24" t="s">
        <v>316</v>
      </c>
      <c r="N56" s="24"/>
    </row>
    <row r="57" spans="1:14" x14ac:dyDescent="0.3">
      <c r="A57" s="24" t="s">
        <v>897</v>
      </c>
      <c r="B57" s="24" t="s">
        <v>691</v>
      </c>
      <c r="C57" s="24" t="s">
        <v>317</v>
      </c>
      <c r="D57" s="25">
        <v>27</v>
      </c>
      <c r="E57" s="25">
        <v>3</v>
      </c>
      <c r="F57" s="25">
        <v>28</v>
      </c>
      <c r="G57" s="25">
        <v>10</v>
      </c>
      <c r="H57" s="25">
        <v>65</v>
      </c>
      <c r="I57" s="24">
        <v>30</v>
      </c>
      <c r="J57" s="24"/>
      <c r="K57" s="24" t="s">
        <v>657</v>
      </c>
      <c r="L57" s="24" t="s">
        <v>318</v>
      </c>
      <c r="M57" s="24" t="s">
        <v>319</v>
      </c>
      <c r="N57" s="24"/>
    </row>
    <row r="58" spans="1:14" x14ac:dyDescent="0.3">
      <c r="A58" s="24" t="s">
        <v>897</v>
      </c>
      <c r="B58" s="24" t="s">
        <v>707</v>
      </c>
      <c r="C58" s="24" t="s">
        <v>372</v>
      </c>
      <c r="D58" s="25">
        <v>15</v>
      </c>
      <c r="E58" s="25">
        <v>11</v>
      </c>
      <c r="F58" s="25">
        <v>22.67</v>
      </c>
      <c r="G58" s="25">
        <v>19.600000000000001</v>
      </c>
      <c r="H58" s="25">
        <v>57.27</v>
      </c>
      <c r="I58" s="24">
        <v>31</v>
      </c>
      <c r="J58" s="24"/>
      <c r="K58" s="24" t="s">
        <v>657</v>
      </c>
      <c r="L58" s="24" t="s">
        <v>373</v>
      </c>
      <c r="M58" s="24" t="s">
        <v>374</v>
      </c>
      <c r="N58" s="24"/>
    </row>
    <row r="59" spans="1:14" x14ac:dyDescent="0.3">
      <c r="A59" s="24" t="s">
        <v>897</v>
      </c>
      <c r="B59" s="24" t="s">
        <v>688</v>
      </c>
      <c r="C59" s="24" t="s">
        <v>375</v>
      </c>
      <c r="D59" s="25">
        <v>14.399999999999999</v>
      </c>
      <c r="E59" s="25">
        <v>0</v>
      </c>
      <c r="F59" s="25">
        <v>30</v>
      </c>
      <c r="G59" s="25">
        <v>9.6</v>
      </c>
      <c r="H59" s="25">
        <v>54</v>
      </c>
      <c r="I59" s="24">
        <v>32</v>
      </c>
      <c r="J59" s="24"/>
      <c r="K59" s="24" t="s">
        <v>657</v>
      </c>
      <c r="L59" s="24" t="s">
        <v>376</v>
      </c>
      <c r="M59" s="24" t="s">
        <v>377</v>
      </c>
      <c r="N59" s="24"/>
    </row>
    <row r="60" spans="1:14" x14ac:dyDescent="0.3">
      <c r="A60" s="24" t="s">
        <v>898</v>
      </c>
      <c r="B60" s="24" t="s">
        <v>741</v>
      </c>
      <c r="C60" s="24" t="s">
        <v>402</v>
      </c>
      <c r="D60" s="25">
        <v>29.4</v>
      </c>
      <c r="E60" s="25">
        <v>0</v>
      </c>
      <c r="F60" s="25">
        <v>30</v>
      </c>
      <c r="G60" s="25">
        <v>19.2</v>
      </c>
      <c r="H60" s="25">
        <v>78.599999999999994</v>
      </c>
      <c r="I60" s="24">
        <v>1</v>
      </c>
      <c r="J60" s="24"/>
      <c r="K60" s="24" t="s">
        <v>653</v>
      </c>
      <c r="L60" s="24" t="s">
        <v>403</v>
      </c>
      <c r="M60" s="24" t="s">
        <v>404</v>
      </c>
      <c r="N60" s="24"/>
    </row>
    <row r="61" spans="1:14" x14ac:dyDescent="0.3">
      <c r="A61" s="24" t="s">
        <v>898</v>
      </c>
      <c r="B61" s="24" t="s">
        <v>720</v>
      </c>
      <c r="C61" s="24" t="s">
        <v>405</v>
      </c>
      <c r="D61" s="25">
        <v>29.4</v>
      </c>
      <c r="E61" s="25">
        <v>2</v>
      </c>
      <c r="F61" s="25">
        <v>28.67</v>
      </c>
      <c r="G61" s="25">
        <v>20</v>
      </c>
      <c r="H61" s="25">
        <v>78.069999999999993</v>
      </c>
      <c r="I61" s="24">
        <v>2</v>
      </c>
      <c r="J61" s="24"/>
      <c r="K61" s="24" t="s">
        <v>653</v>
      </c>
      <c r="L61" s="24" t="s">
        <v>406</v>
      </c>
      <c r="M61" s="24" t="s">
        <v>407</v>
      </c>
      <c r="N61" s="24"/>
    </row>
    <row r="62" spans="1:14" x14ac:dyDescent="0.3">
      <c r="A62" s="24" t="s">
        <v>898</v>
      </c>
      <c r="B62" s="24" t="s">
        <v>732</v>
      </c>
      <c r="C62" s="24" t="s">
        <v>393</v>
      </c>
      <c r="D62" s="25">
        <v>30</v>
      </c>
      <c r="E62" s="25">
        <v>2</v>
      </c>
      <c r="F62" s="25">
        <v>28.67</v>
      </c>
      <c r="G62" s="25">
        <v>19.2</v>
      </c>
      <c r="H62" s="25">
        <v>77.87</v>
      </c>
      <c r="I62" s="24">
        <v>3</v>
      </c>
      <c r="J62" s="24"/>
      <c r="K62" s="24" t="s">
        <v>653</v>
      </c>
      <c r="L62" s="24" t="s">
        <v>394</v>
      </c>
      <c r="M62" s="24" t="s">
        <v>395</v>
      </c>
      <c r="N62" s="24"/>
    </row>
    <row r="63" spans="1:14" x14ac:dyDescent="0.3">
      <c r="A63" s="24" t="s">
        <v>898</v>
      </c>
      <c r="B63" s="24" t="s">
        <v>740</v>
      </c>
      <c r="C63" s="24" t="s">
        <v>396</v>
      </c>
      <c r="D63" s="25">
        <v>29.4</v>
      </c>
      <c r="E63" s="25">
        <v>0</v>
      </c>
      <c r="F63" s="25">
        <v>30</v>
      </c>
      <c r="G63" s="25">
        <v>18.39</v>
      </c>
      <c r="H63" s="25">
        <v>77.790000000000006</v>
      </c>
      <c r="I63" s="24">
        <v>4</v>
      </c>
      <c r="J63" s="24"/>
      <c r="K63" s="24" t="s">
        <v>653</v>
      </c>
      <c r="L63" s="24" t="s">
        <v>397</v>
      </c>
      <c r="M63" s="24" t="s">
        <v>398</v>
      </c>
      <c r="N63" s="24"/>
    </row>
    <row r="64" spans="1:14" x14ac:dyDescent="0.3">
      <c r="A64" s="24" t="s">
        <v>898</v>
      </c>
      <c r="B64" s="24" t="s">
        <v>622</v>
      </c>
      <c r="C64" s="24" t="s">
        <v>411</v>
      </c>
      <c r="D64" s="25">
        <v>28.799999999999997</v>
      </c>
      <c r="E64" s="25">
        <v>0</v>
      </c>
      <c r="F64" s="25">
        <v>30</v>
      </c>
      <c r="G64" s="25">
        <v>18.8</v>
      </c>
      <c r="H64" s="25">
        <v>77.599999999999994</v>
      </c>
      <c r="I64" s="24">
        <v>5</v>
      </c>
      <c r="J64" s="24"/>
      <c r="K64" s="24" t="s">
        <v>653</v>
      </c>
      <c r="L64" s="24" t="s">
        <v>412</v>
      </c>
      <c r="M64" s="24" t="s">
        <v>413</v>
      </c>
      <c r="N64" s="24"/>
    </row>
    <row r="65" spans="1:14" x14ac:dyDescent="0.3">
      <c r="A65" s="24" t="s">
        <v>898</v>
      </c>
      <c r="B65" s="24" t="s">
        <v>735</v>
      </c>
      <c r="C65" s="24" t="s">
        <v>419</v>
      </c>
      <c r="D65" s="25">
        <v>28.2</v>
      </c>
      <c r="E65" s="25">
        <v>0</v>
      </c>
      <c r="F65" s="25">
        <v>30</v>
      </c>
      <c r="G65" s="25">
        <v>19.2</v>
      </c>
      <c r="H65" s="25">
        <v>77.400000000000006</v>
      </c>
      <c r="I65" s="24">
        <v>6</v>
      </c>
      <c r="J65" s="24"/>
      <c r="K65" s="24" t="s">
        <v>654</v>
      </c>
      <c r="L65" s="24" t="s">
        <v>420</v>
      </c>
      <c r="M65" s="24" t="s">
        <v>421</v>
      </c>
      <c r="N65" s="24"/>
    </row>
    <row r="66" spans="1:14" x14ac:dyDescent="0.3">
      <c r="A66" s="24" t="s">
        <v>898</v>
      </c>
      <c r="B66" s="24" t="s">
        <v>742</v>
      </c>
      <c r="C66" s="24" t="s">
        <v>423</v>
      </c>
      <c r="D66" s="25">
        <v>27.599999999999998</v>
      </c>
      <c r="E66" s="25">
        <v>0</v>
      </c>
      <c r="F66" s="25">
        <v>30</v>
      </c>
      <c r="G66" s="25">
        <v>19.600000000000001</v>
      </c>
      <c r="H66" s="25">
        <v>77.2</v>
      </c>
      <c r="I66" s="24">
        <v>7</v>
      </c>
      <c r="J66" s="24"/>
      <c r="K66" s="24" t="s">
        <v>654</v>
      </c>
      <c r="L66" s="24" t="s">
        <v>424</v>
      </c>
      <c r="M66" s="24" t="s">
        <v>425</v>
      </c>
      <c r="N66" s="24"/>
    </row>
    <row r="67" spans="1:14" x14ac:dyDescent="0.3">
      <c r="A67" s="24" t="s">
        <v>898</v>
      </c>
      <c r="B67" s="24" t="s">
        <v>724</v>
      </c>
      <c r="C67" s="24" t="s">
        <v>390</v>
      </c>
      <c r="D67" s="25">
        <v>30</v>
      </c>
      <c r="E67" s="25">
        <v>2</v>
      </c>
      <c r="F67" s="25">
        <v>28.67</v>
      </c>
      <c r="G67" s="25">
        <v>18.39</v>
      </c>
      <c r="H67" s="25">
        <v>77.06</v>
      </c>
      <c r="I67" s="24">
        <v>8</v>
      </c>
      <c r="J67" s="24"/>
      <c r="K67" s="24" t="s">
        <v>654</v>
      </c>
      <c r="L67" s="24" t="s">
        <v>391</v>
      </c>
      <c r="M67" s="24" t="s">
        <v>392</v>
      </c>
      <c r="N67" s="24"/>
    </row>
    <row r="68" spans="1:14" x14ac:dyDescent="0.3">
      <c r="A68" s="24" t="s">
        <v>898</v>
      </c>
      <c r="B68" s="24" t="s">
        <v>725</v>
      </c>
      <c r="C68" s="24" t="s">
        <v>408</v>
      </c>
      <c r="D68" s="25">
        <v>29.4</v>
      </c>
      <c r="E68" s="25">
        <v>0</v>
      </c>
      <c r="F68" s="25">
        <v>30</v>
      </c>
      <c r="G68" s="25">
        <v>16.39</v>
      </c>
      <c r="H68" s="25">
        <v>75.790000000000006</v>
      </c>
      <c r="I68" s="24">
        <v>9</v>
      </c>
      <c r="J68" s="24"/>
      <c r="K68" s="24" t="s">
        <v>655</v>
      </c>
      <c r="L68" s="24" t="s">
        <v>409</v>
      </c>
      <c r="M68" s="24" t="s">
        <v>410</v>
      </c>
      <c r="N68" s="24"/>
    </row>
    <row r="69" spans="1:14" x14ac:dyDescent="0.3">
      <c r="A69" s="24" t="s">
        <v>898</v>
      </c>
      <c r="B69" s="24" t="s">
        <v>728</v>
      </c>
      <c r="C69" s="24" t="s">
        <v>426</v>
      </c>
      <c r="D69" s="25">
        <v>27.599999999999998</v>
      </c>
      <c r="E69" s="25">
        <v>3</v>
      </c>
      <c r="F69" s="25">
        <v>28</v>
      </c>
      <c r="G69" s="25">
        <v>19.2</v>
      </c>
      <c r="H69" s="25">
        <v>74.8</v>
      </c>
      <c r="I69" s="24">
        <v>10</v>
      </c>
      <c r="J69" s="24"/>
      <c r="K69" s="24" t="s">
        <v>655</v>
      </c>
      <c r="L69" s="24" t="s">
        <v>427</v>
      </c>
      <c r="M69" s="24" t="s">
        <v>428</v>
      </c>
      <c r="N69" s="24"/>
    </row>
    <row r="70" spans="1:14" x14ac:dyDescent="0.3">
      <c r="A70" s="24" t="s">
        <v>898</v>
      </c>
      <c r="B70" s="24" t="s">
        <v>636</v>
      </c>
      <c r="C70" s="24" t="s">
        <v>399</v>
      </c>
      <c r="D70" s="25">
        <v>29.4</v>
      </c>
      <c r="E70" s="25">
        <v>7</v>
      </c>
      <c r="F70" s="25">
        <v>25.33</v>
      </c>
      <c r="G70" s="25">
        <v>18.39</v>
      </c>
      <c r="H70" s="25">
        <v>73.12</v>
      </c>
      <c r="I70" s="24">
        <v>11</v>
      </c>
      <c r="J70" s="24"/>
      <c r="K70" s="24" t="s">
        <v>655</v>
      </c>
      <c r="L70" s="24" t="s">
        <v>400</v>
      </c>
      <c r="M70" s="24" t="s">
        <v>401</v>
      </c>
      <c r="N70" s="24"/>
    </row>
    <row r="71" spans="1:14" x14ac:dyDescent="0.3">
      <c r="A71" s="24" t="s">
        <v>898</v>
      </c>
      <c r="B71" s="24" t="s">
        <v>737</v>
      </c>
      <c r="C71" s="24" t="s">
        <v>414</v>
      </c>
      <c r="D71" s="25">
        <v>28.2</v>
      </c>
      <c r="E71" s="25">
        <v>5</v>
      </c>
      <c r="F71" s="25">
        <v>26.67</v>
      </c>
      <c r="G71" s="25">
        <v>18</v>
      </c>
      <c r="H71" s="25">
        <v>72.87</v>
      </c>
      <c r="I71" s="24">
        <v>12</v>
      </c>
      <c r="J71" s="24"/>
      <c r="K71" s="24" t="s">
        <v>655</v>
      </c>
      <c r="L71" s="24" t="s">
        <v>415</v>
      </c>
      <c r="M71" s="24" t="s">
        <v>416</v>
      </c>
      <c r="N71" s="24"/>
    </row>
    <row r="72" spans="1:14" x14ac:dyDescent="0.3">
      <c r="A72" s="24" t="s">
        <v>898</v>
      </c>
      <c r="B72" s="24" t="s">
        <v>722</v>
      </c>
      <c r="C72" s="24" t="s">
        <v>442</v>
      </c>
      <c r="D72" s="25">
        <v>23.4</v>
      </c>
      <c r="E72" s="25">
        <v>3</v>
      </c>
      <c r="F72" s="25">
        <v>28</v>
      </c>
      <c r="G72" s="25">
        <v>19.600000000000001</v>
      </c>
      <c r="H72" s="25">
        <v>71</v>
      </c>
      <c r="I72" s="24">
        <v>13</v>
      </c>
      <c r="J72" s="24"/>
      <c r="K72" s="24" t="s">
        <v>655</v>
      </c>
      <c r="L72" s="24" t="s">
        <v>443</v>
      </c>
      <c r="M72" s="24" t="s">
        <v>444</v>
      </c>
      <c r="N72" s="24"/>
    </row>
    <row r="73" spans="1:14" x14ac:dyDescent="0.3">
      <c r="A73" s="24" t="s">
        <v>898</v>
      </c>
      <c r="B73" s="24" t="s">
        <v>733</v>
      </c>
      <c r="C73" s="24" t="s">
        <v>445</v>
      </c>
      <c r="D73" s="25">
        <v>23.4</v>
      </c>
      <c r="E73" s="25">
        <v>3</v>
      </c>
      <c r="F73" s="25">
        <v>28</v>
      </c>
      <c r="G73" s="25">
        <v>19.2</v>
      </c>
      <c r="H73" s="25">
        <v>70.599999999999994</v>
      </c>
      <c r="I73" s="24">
        <v>14</v>
      </c>
      <c r="J73" s="24"/>
      <c r="K73" s="24" t="s">
        <v>655</v>
      </c>
      <c r="L73" s="24" t="s">
        <v>446</v>
      </c>
      <c r="M73" s="24" t="s">
        <v>447</v>
      </c>
      <c r="N73" s="24"/>
    </row>
    <row r="74" spans="1:14" x14ac:dyDescent="0.3">
      <c r="A74" s="24" t="s">
        <v>898</v>
      </c>
      <c r="B74" s="24" t="s">
        <v>736</v>
      </c>
      <c r="C74" s="24" t="s">
        <v>454</v>
      </c>
      <c r="D74" s="25">
        <v>23.4</v>
      </c>
      <c r="E74" s="25">
        <v>3</v>
      </c>
      <c r="F74" s="25">
        <v>28</v>
      </c>
      <c r="G74" s="25">
        <v>18</v>
      </c>
      <c r="H74" s="25">
        <v>69.400000000000006</v>
      </c>
      <c r="I74" s="24">
        <v>15</v>
      </c>
      <c r="J74" s="24"/>
      <c r="K74" s="24" t="s">
        <v>655</v>
      </c>
      <c r="L74" s="24" t="s">
        <v>455</v>
      </c>
      <c r="M74" s="24" t="s">
        <v>456</v>
      </c>
      <c r="N74" s="24"/>
    </row>
    <row r="75" spans="1:14" x14ac:dyDescent="0.3">
      <c r="A75" s="24" t="s">
        <v>898</v>
      </c>
      <c r="B75" s="24" t="s">
        <v>614</v>
      </c>
      <c r="C75" s="24" t="s">
        <v>451</v>
      </c>
      <c r="D75" s="25">
        <v>23.4</v>
      </c>
      <c r="E75" s="25">
        <v>3</v>
      </c>
      <c r="F75" s="25">
        <v>28</v>
      </c>
      <c r="G75" s="25">
        <v>18</v>
      </c>
      <c r="H75" s="25">
        <v>69.400000000000006</v>
      </c>
      <c r="I75" s="24">
        <v>15</v>
      </c>
      <c r="J75" s="24"/>
      <c r="K75" s="24" t="s">
        <v>655</v>
      </c>
      <c r="L75" s="24" t="s">
        <v>452</v>
      </c>
      <c r="M75" s="24" t="s">
        <v>453</v>
      </c>
      <c r="N75" s="24"/>
    </row>
    <row r="76" spans="1:14" x14ac:dyDescent="0.3">
      <c r="A76" s="24" t="s">
        <v>898</v>
      </c>
      <c r="B76" s="24" t="s">
        <v>743</v>
      </c>
      <c r="C76" s="24" t="s">
        <v>439</v>
      </c>
      <c r="D76" s="25">
        <v>23.4</v>
      </c>
      <c r="E76" s="25">
        <v>4</v>
      </c>
      <c r="F76" s="25">
        <v>27.33</v>
      </c>
      <c r="G76" s="25">
        <v>18.39</v>
      </c>
      <c r="H76" s="25">
        <v>69.12</v>
      </c>
      <c r="I76" s="24">
        <v>17</v>
      </c>
      <c r="J76" s="24"/>
      <c r="K76" s="24" t="s">
        <v>656</v>
      </c>
      <c r="L76" s="24" t="s">
        <v>440</v>
      </c>
      <c r="M76" s="24" t="s">
        <v>441</v>
      </c>
      <c r="N76" s="24"/>
    </row>
    <row r="77" spans="1:14" x14ac:dyDescent="0.3">
      <c r="A77" s="24" t="s">
        <v>898</v>
      </c>
      <c r="B77" s="24" t="s">
        <v>719</v>
      </c>
      <c r="C77" s="24" t="s">
        <v>471</v>
      </c>
      <c r="D77" s="25">
        <v>20.399999999999999</v>
      </c>
      <c r="E77" s="25">
        <v>0</v>
      </c>
      <c r="F77" s="25">
        <v>30</v>
      </c>
      <c r="G77" s="25">
        <v>18.39</v>
      </c>
      <c r="H77" s="25">
        <v>68.790000000000006</v>
      </c>
      <c r="I77" s="24">
        <v>18</v>
      </c>
      <c r="J77" s="24"/>
      <c r="K77" s="24" t="s">
        <v>656</v>
      </c>
      <c r="L77" s="24" t="s">
        <v>472</v>
      </c>
      <c r="M77" s="24" t="s">
        <v>473</v>
      </c>
      <c r="N77" s="24"/>
    </row>
    <row r="78" spans="1:14" x14ac:dyDescent="0.3">
      <c r="A78" s="24" t="s">
        <v>898</v>
      </c>
      <c r="B78" s="24" t="s">
        <v>727</v>
      </c>
      <c r="C78" s="24" t="s">
        <v>460</v>
      </c>
      <c r="D78" s="25">
        <v>22.8</v>
      </c>
      <c r="E78" s="25">
        <v>3</v>
      </c>
      <c r="F78" s="25">
        <v>28</v>
      </c>
      <c r="G78" s="25">
        <v>17.2</v>
      </c>
      <c r="H78" s="25">
        <v>68</v>
      </c>
      <c r="I78" s="24">
        <v>19</v>
      </c>
      <c r="J78" s="24"/>
      <c r="K78" s="24" t="s">
        <v>656</v>
      </c>
      <c r="L78" s="24" t="s">
        <v>461</v>
      </c>
      <c r="M78" s="24" t="s">
        <v>462</v>
      </c>
      <c r="N78" s="24"/>
    </row>
    <row r="79" spans="1:14" x14ac:dyDescent="0.3">
      <c r="A79" s="24" t="s">
        <v>898</v>
      </c>
      <c r="B79" s="24" t="s">
        <v>738</v>
      </c>
      <c r="C79" s="24" t="s">
        <v>457</v>
      </c>
      <c r="D79" s="25">
        <v>23.4</v>
      </c>
      <c r="E79" s="25">
        <v>5</v>
      </c>
      <c r="F79" s="25">
        <v>26.67</v>
      </c>
      <c r="G79" s="25">
        <v>17.600000000000001</v>
      </c>
      <c r="H79" s="25">
        <v>67.67</v>
      </c>
      <c r="I79" s="24">
        <v>20</v>
      </c>
      <c r="J79" s="24"/>
      <c r="K79" s="24" t="s">
        <v>657</v>
      </c>
      <c r="L79" s="24" t="s">
        <v>458</v>
      </c>
      <c r="M79" s="24" t="s">
        <v>459</v>
      </c>
      <c r="N79" s="24"/>
    </row>
    <row r="80" spans="1:14" x14ac:dyDescent="0.3">
      <c r="A80" s="24" t="s">
        <v>898</v>
      </c>
      <c r="B80" s="24" t="s">
        <v>744</v>
      </c>
      <c r="C80" s="24" t="s">
        <v>464</v>
      </c>
      <c r="D80" s="25">
        <v>21.599999999999998</v>
      </c>
      <c r="E80" s="25">
        <v>4</v>
      </c>
      <c r="F80" s="25">
        <v>27.33</v>
      </c>
      <c r="G80" s="25">
        <v>18.39</v>
      </c>
      <c r="H80" s="25">
        <v>67.319999999999993</v>
      </c>
      <c r="I80" s="24">
        <v>21</v>
      </c>
      <c r="J80" s="24"/>
      <c r="K80" s="24" t="s">
        <v>657</v>
      </c>
      <c r="L80" s="24" t="s">
        <v>465</v>
      </c>
      <c r="M80" s="24" t="s">
        <v>466</v>
      </c>
      <c r="N80" s="24"/>
    </row>
    <row r="81" spans="1:14" x14ac:dyDescent="0.3">
      <c r="A81" s="24" t="s">
        <v>898</v>
      </c>
      <c r="B81" s="24" t="s">
        <v>721</v>
      </c>
      <c r="C81" s="24" t="s">
        <v>436</v>
      </c>
      <c r="D81" s="25">
        <v>23.4</v>
      </c>
      <c r="E81" s="25">
        <v>4</v>
      </c>
      <c r="F81" s="25">
        <v>27.33</v>
      </c>
      <c r="G81" s="25">
        <v>16</v>
      </c>
      <c r="H81" s="25">
        <v>66.73</v>
      </c>
      <c r="I81" s="24">
        <v>22</v>
      </c>
      <c r="J81" s="24"/>
      <c r="K81" s="24" t="s">
        <v>657</v>
      </c>
      <c r="L81" s="24" t="s">
        <v>437</v>
      </c>
      <c r="M81" s="24" t="s">
        <v>438</v>
      </c>
      <c r="N81" s="24"/>
    </row>
    <row r="82" spans="1:14" x14ac:dyDescent="0.3">
      <c r="A82" s="24" t="s">
        <v>898</v>
      </c>
      <c r="B82" s="24" t="s">
        <v>730</v>
      </c>
      <c r="C82" s="24" t="s">
        <v>468</v>
      </c>
      <c r="D82" s="25">
        <v>21.599999999999998</v>
      </c>
      <c r="E82" s="25">
        <v>9</v>
      </c>
      <c r="F82" s="25">
        <v>24</v>
      </c>
      <c r="G82" s="25">
        <v>18.8</v>
      </c>
      <c r="H82" s="25">
        <v>64.400000000000006</v>
      </c>
      <c r="I82" s="24">
        <v>23</v>
      </c>
      <c r="J82" s="24"/>
      <c r="K82" s="24" t="s">
        <v>657</v>
      </c>
      <c r="L82" s="24" t="s">
        <v>469</v>
      </c>
      <c r="M82" s="24" t="s">
        <v>470</v>
      </c>
      <c r="N82" s="24"/>
    </row>
    <row r="83" spans="1:14" x14ac:dyDescent="0.3">
      <c r="A83" s="24" t="s">
        <v>898</v>
      </c>
      <c r="B83" s="24" t="s">
        <v>731</v>
      </c>
      <c r="C83" s="24" t="s">
        <v>480</v>
      </c>
      <c r="D83" s="25">
        <v>17.399999999999999</v>
      </c>
      <c r="E83" s="25">
        <v>5</v>
      </c>
      <c r="F83" s="25">
        <v>26.67</v>
      </c>
      <c r="G83" s="25">
        <v>19.600000000000001</v>
      </c>
      <c r="H83" s="25">
        <v>63.67</v>
      </c>
      <c r="I83" s="24">
        <v>24</v>
      </c>
      <c r="J83" s="24"/>
      <c r="K83" s="24" t="s">
        <v>657</v>
      </c>
      <c r="L83" s="24" t="s">
        <v>481</v>
      </c>
      <c r="M83" s="24" t="s">
        <v>482</v>
      </c>
      <c r="N83" s="24"/>
    </row>
    <row r="84" spans="1:14" x14ac:dyDescent="0.3">
      <c r="A84" s="24" t="s">
        <v>898</v>
      </c>
      <c r="B84" s="24" t="s">
        <v>618</v>
      </c>
      <c r="C84" s="24" t="s">
        <v>483</v>
      </c>
      <c r="D84" s="25">
        <v>16.2</v>
      </c>
      <c r="E84" s="25">
        <v>8</v>
      </c>
      <c r="F84" s="25">
        <v>24.67</v>
      </c>
      <c r="G84" s="25">
        <v>19.2</v>
      </c>
      <c r="H84" s="25">
        <v>60.07</v>
      </c>
      <c r="I84" s="24">
        <v>25</v>
      </c>
      <c r="J84" s="24"/>
      <c r="K84" s="24" t="s">
        <v>657</v>
      </c>
      <c r="L84" s="24" t="s">
        <v>484</v>
      </c>
      <c r="M84" s="24" t="s">
        <v>485</v>
      </c>
      <c r="N84" s="24"/>
    </row>
    <row r="85" spans="1:14" x14ac:dyDescent="0.3">
      <c r="A85" s="24" t="s">
        <v>898</v>
      </c>
      <c r="B85" s="24" t="s">
        <v>726</v>
      </c>
      <c r="C85" s="24" t="s">
        <v>486</v>
      </c>
      <c r="D85" s="25">
        <v>12.6</v>
      </c>
      <c r="E85" s="25">
        <v>8</v>
      </c>
      <c r="F85" s="25">
        <v>24.67</v>
      </c>
      <c r="G85" s="25">
        <v>19.2</v>
      </c>
      <c r="H85" s="25">
        <v>56.47</v>
      </c>
      <c r="I85" s="24">
        <v>26</v>
      </c>
      <c r="J85" s="24"/>
      <c r="K85" s="24" t="s">
        <v>657</v>
      </c>
      <c r="L85" s="24" t="s">
        <v>487</v>
      </c>
      <c r="M85" s="24" t="s">
        <v>488</v>
      </c>
      <c r="N85" s="24"/>
    </row>
    <row r="86" spans="1:14" x14ac:dyDescent="0.3">
      <c r="A86" s="24" t="s">
        <v>898</v>
      </c>
      <c r="B86" s="24" t="s">
        <v>745</v>
      </c>
      <c r="C86" s="24" t="s">
        <v>489</v>
      </c>
      <c r="D86" s="25">
        <v>12</v>
      </c>
      <c r="E86" s="25">
        <v>8</v>
      </c>
      <c r="F86" s="25">
        <v>24.67</v>
      </c>
      <c r="G86" s="25">
        <v>19.2</v>
      </c>
      <c r="H86" s="25">
        <v>55.87</v>
      </c>
      <c r="I86" s="24">
        <v>27</v>
      </c>
      <c r="J86" s="24"/>
      <c r="K86" s="24" t="s">
        <v>657</v>
      </c>
      <c r="L86" s="24" t="s">
        <v>490</v>
      </c>
      <c r="M86" s="24" t="s">
        <v>491</v>
      </c>
      <c r="N86" s="24"/>
    </row>
    <row r="87" spans="1:14" x14ac:dyDescent="0.3">
      <c r="A87" s="24" t="s">
        <v>898</v>
      </c>
      <c r="B87" s="24" t="s">
        <v>734</v>
      </c>
      <c r="C87" s="24" t="s">
        <v>429</v>
      </c>
      <c r="D87" s="25">
        <v>24.599999999999998</v>
      </c>
      <c r="E87" s="25">
        <v>6</v>
      </c>
      <c r="F87" s="25">
        <v>26</v>
      </c>
      <c r="G87" s="25">
        <v>3.2</v>
      </c>
      <c r="H87" s="25">
        <v>53.8</v>
      </c>
      <c r="I87" s="24">
        <v>28</v>
      </c>
      <c r="J87" s="24"/>
      <c r="K87" s="24" t="s">
        <v>657</v>
      </c>
      <c r="L87" s="24" t="s">
        <v>430</v>
      </c>
      <c r="M87" s="24" t="s">
        <v>431</v>
      </c>
      <c r="N87" s="24"/>
    </row>
    <row r="88" spans="1:14" x14ac:dyDescent="0.3">
      <c r="A88" s="24" t="s">
        <v>898</v>
      </c>
      <c r="B88" s="24" t="s">
        <v>739</v>
      </c>
      <c r="C88" s="24" t="s">
        <v>499</v>
      </c>
      <c r="D88" s="25">
        <v>6</v>
      </c>
      <c r="E88" s="25">
        <v>5</v>
      </c>
      <c r="F88" s="25">
        <v>26.67</v>
      </c>
      <c r="G88" s="25">
        <v>15.6</v>
      </c>
      <c r="H88" s="25">
        <v>48.27</v>
      </c>
      <c r="I88" s="24">
        <v>29</v>
      </c>
      <c r="J88" s="24"/>
      <c r="K88" s="24" t="s">
        <v>657</v>
      </c>
      <c r="L88" s="24" t="s">
        <v>500</v>
      </c>
      <c r="M88" s="24" t="s">
        <v>501</v>
      </c>
      <c r="N88" s="24"/>
    </row>
    <row r="89" spans="1:14" x14ac:dyDescent="0.3">
      <c r="A89" s="24" t="s">
        <v>898</v>
      </c>
      <c r="B89" s="24" t="s">
        <v>723</v>
      </c>
      <c r="C89" s="24" t="s">
        <v>492</v>
      </c>
      <c r="D89" s="25">
        <v>7.8</v>
      </c>
      <c r="E89" s="25">
        <v>11</v>
      </c>
      <c r="F89" s="25">
        <v>22.67</v>
      </c>
      <c r="G89" s="25">
        <v>16.39</v>
      </c>
      <c r="H89" s="25">
        <v>46.86</v>
      </c>
      <c r="I89" s="24">
        <v>30</v>
      </c>
      <c r="J89" s="24"/>
      <c r="K89" s="24" t="s">
        <v>657</v>
      </c>
      <c r="L89" s="24" t="s">
        <v>493</v>
      </c>
      <c r="M89" s="24" t="s">
        <v>494</v>
      </c>
      <c r="N89" s="24"/>
    </row>
    <row r="90" spans="1:14" x14ac:dyDescent="0.3">
      <c r="A90" s="24" t="s">
        <v>898</v>
      </c>
      <c r="B90" s="24" t="s">
        <v>729</v>
      </c>
      <c r="C90" s="24" t="s">
        <v>504</v>
      </c>
      <c r="D90" s="25">
        <v>4.8</v>
      </c>
      <c r="E90" s="25">
        <v>9</v>
      </c>
      <c r="F90" s="25">
        <v>24</v>
      </c>
      <c r="G90" s="25">
        <v>15.2</v>
      </c>
      <c r="H90" s="25">
        <v>44</v>
      </c>
      <c r="I90" s="24">
        <v>31</v>
      </c>
      <c r="J90" s="24"/>
      <c r="K90" s="24" t="s">
        <v>657</v>
      </c>
      <c r="L90" s="24" t="s">
        <v>505</v>
      </c>
      <c r="M90" s="24" t="s">
        <v>506</v>
      </c>
      <c r="N90" s="24"/>
    </row>
    <row r="91" spans="1:14" x14ac:dyDescent="0.3">
      <c r="A91" s="24" t="s">
        <v>899</v>
      </c>
      <c r="B91" s="24" t="s">
        <v>764</v>
      </c>
      <c r="C91" s="24" t="s">
        <v>514</v>
      </c>
      <c r="D91" s="25">
        <v>30</v>
      </c>
      <c r="E91" s="25">
        <v>0</v>
      </c>
      <c r="F91" s="25">
        <v>30</v>
      </c>
      <c r="G91" s="25">
        <v>20</v>
      </c>
      <c r="H91" s="25">
        <v>80</v>
      </c>
      <c r="I91" s="24">
        <v>1</v>
      </c>
      <c r="J91" s="24"/>
      <c r="K91" s="24" t="s">
        <v>653</v>
      </c>
      <c r="L91" s="24" t="s">
        <v>515</v>
      </c>
      <c r="M91" s="24" t="s">
        <v>516</v>
      </c>
      <c r="N91" s="24"/>
    </row>
    <row r="92" spans="1:14" x14ac:dyDescent="0.3">
      <c r="A92" s="24" t="s">
        <v>899</v>
      </c>
      <c r="B92" s="24" t="s">
        <v>749</v>
      </c>
      <c r="C92" s="24" t="s">
        <v>532</v>
      </c>
      <c r="D92" s="25">
        <v>29.4</v>
      </c>
      <c r="E92" s="25">
        <v>0</v>
      </c>
      <c r="F92" s="25">
        <v>30</v>
      </c>
      <c r="G92" s="25">
        <v>20</v>
      </c>
      <c r="H92" s="25">
        <v>79.400000000000006</v>
      </c>
      <c r="I92" s="24">
        <v>2</v>
      </c>
      <c r="J92" s="24"/>
      <c r="K92" s="24" t="s">
        <v>653</v>
      </c>
      <c r="L92" s="24" t="s">
        <v>533</v>
      </c>
      <c r="M92" s="24" t="s">
        <v>534</v>
      </c>
      <c r="N92" s="24"/>
    </row>
    <row r="93" spans="1:14" x14ac:dyDescent="0.3">
      <c r="A93" s="24" t="s">
        <v>899</v>
      </c>
      <c r="B93" s="24" t="s">
        <v>765</v>
      </c>
      <c r="C93" s="24" t="s">
        <v>517</v>
      </c>
      <c r="D93" s="25">
        <v>30</v>
      </c>
      <c r="E93" s="25">
        <v>0</v>
      </c>
      <c r="F93" s="25">
        <v>30</v>
      </c>
      <c r="G93" s="25">
        <v>19.2</v>
      </c>
      <c r="H93" s="25">
        <v>79.2</v>
      </c>
      <c r="I93" s="24">
        <v>3</v>
      </c>
      <c r="J93" s="24"/>
      <c r="K93" s="24" t="s">
        <v>653</v>
      </c>
      <c r="L93" s="24" t="s">
        <v>518</v>
      </c>
      <c r="M93" s="24" t="s">
        <v>519</v>
      </c>
      <c r="N93" s="24"/>
    </row>
    <row r="94" spans="1:14" x14ac:dyDescent="0.3">
      <c r="A94" s="24" t="s">
        <v>899</v>
      </c>
      <c r="B94" s="24" t="s">
        <v>752</v>
      </c>
      <c r="C94" s="24" t="s">
        <v>523</v>
      </c>
      <c r="D94" s="25">
        <v>29.4</v>
      </c>
      <c r="E94" s="25">
        <v>0</v>
      </c>
      <c r="F94" s="25">
        <v>30</v>
      </c>
      <c r="G94" s="25">
        <v>19.2</v>
      </c>
      <c r="H94" s="25">
        <v>78.599999999999994</v>
      </c>
      <c r="I94" s="24">
        <v>4</v>
      </c>
      <c r="J94" s="24"/>
      <c r="K94" s="24" t="s">
        <v>654</v>
      </c>
      <c r="L94" s="24" t="s">
        <v>524</v>
      </c>
      <c r="M94" s="24" t="s">
        <v>525</v>
      </c>
      <c r="N94" s="24"/>
    </row>
    <row r="95" spans="1:14" x14ac:dyDescent="0.3">
      <c r="A95" s="24" t="s">
        <v>899</v>
      </c>
      <c r="B95" s="24" t="s">
        <v>760</v>
      </c>
      <c r="C95" s="24" t="s">
        <v>526</v>
      </c>
      <c r="D95" s="25">
        <v>29.4</v>
      </c>
      <c r="E95" s="25">
        <v>0</v>
      </c>
      <c r="F95" s="25">
        <v>30</v>
      </c>
      <c r="G95" s="25">
        <v>19.2</v>
      </c>
      <c r="H95" s="25">
        <v>78.599999999999994</v>
      </c>
      <c r="I95" s="24">
        <v>4</v>
      </c>
      <c r="J95" s="24"/>
      <c r="K95" s="24" t="s">
        <v>654</v>
      </c>
      <c r="L95" s="24" t="s">
        <v>527</v>
      </c>
      <c r="M95" s="24" t="s">
        <v>528</v>
      </c>
      <c r="N95" s="24"/>
    </row>
    <row r="96" spans="1:14" x14ac:dyDescent="0.3">
      <c r="A96" s="24" t="s">
        <v>899</v>
      </c>
      <c r="B96" s="24" t="s">
        <v>756</v>
      </c>
      <c r="C96" s="24" t="s">
        <v>535</v>
      </c>
      <c r="D96" s="25">
        <v>28.799999999999997</v>
      </c>
      <c r="E96" s="25">
        <v>0</v>
      </c>
      <c r="F96" s="25">
        <v>30</v>
      </c>
      <c r="G96" s="25">
        <v>19.2</v>
      </c>
      <c r="H96" s="25">
        <v>78</v>
      </c>
      <c r="I96" s="24">
        <v>6</v>
      </c>
      <c r="J96" s="24"/>
      <c r="K96" s="24" t="s">
        <v>655</v>
      </c>
      <c r="L96" s="24" t="s">
        <v>536</v>
      </c>
      <c r="M96" s="24" t="s">
        <v>537</v>
      </c>
      <c r="N96" s="24"/>
    </row>
    <row r="97" spans="1:14" x14ac:dyDescent="0.3">
      <c r="A97" s="24" t="s">
        <v>899</v>
      </c>
      <c r="B97" s="24" t="s">
        <v>762</v>
      </c>
      <c r="C97" s="24" t="s">
        <v>538</v>
      </c>
      <c r="D97" s="25">
        <v>28.799999999999997</v>
      </c>
      <c r="E97" s="25">
        <v>0</v>
      </c>
      <c r="F97" s="25">
        <v>30</v>
      </c>
      <c r="G97" s="25">
        <v>19.2</v>
      </c>
      <c r="H97" s="25">
        <v>78</v>
      </c>
      <c r="I97" s="24">
        <v>6</v>
      </c>
      <c r="J97" s="24"/>
      <c r="K97" s="24" t="s">
        <v>655</v>
      </c>
      <c r="L97" s="24" t="s">
        <v>539</v>
      </c>
      <c r="M97" s="24" t="s">
        <v>540</v>
      </c>
      <c r="N97" s="24"/>
    </row>
    <row r="98" spans="1:14" x14ac:dyDescent="0.3">
      <c r="A98" s="24" t="s">
        <v>899</v>
      </c>
      <c r="B98" s="24" t="s">
        <v>750</v>
      </c>
      <c r="C98" s="24" t="s">
        <v>520</v>
      </c>
      <c r="D98" s="25">
        <v>29.4</v>
      </c>
      <c r="E98" s="25">
        <v>3</v>
      </c>
      <c r="F98" s="25">
        <v>28</v>
      </c>
      <c r="G98" s="25">
        <v>19.2</v>
      </c>
      <c r="H98" s="25">
        <v>76.599999999999994</v>
      </c>
      <c r="I98" s="24">
        <v>8</v>
      </c>
      <c r="J98" s="24"/>
      <c r="K98" s="24" t="s">
        <v>655</v>
      </c>
      <c r="L98" s="24" t="s">
        <v>521</v>
      </c>
      <c r="M98" s="24" t="s">
        <v>522</v>
      </c>
      <c r="N98" s="24"/>
    </row>
    <row r="99" spans="1:14" x14ac:dyDescent="0.3">
      <c r="A99" s="24" t="s">
        <v>899</v>
      </c>
      <c r="B99" s="24" t="s">
        <v>748</v>
      </c>
      <c r="C99" s="24" t="s">
        <v>544</v>
      </c>
      <c r="D99" s="25">
        <v>24</v>
      </c>
      <c r="E99" s="25">
        <v>0</v>
      </c>
      <c r="F99" s="25">
        <v>30</v>
      </c>
      <c r="G99" s="25">
        <v>19.600000000000001</v>
      </c>
      <c r="H99" s="25">
        <v>73.599999999999994</v>
      </c>
      <c r="I99" s="24">
        <v>9</v>
      </c>
      <c r="J99" s="24"/>
      <c r="K99" s="24" t="s">
        <v>655</v>
      </c>
      <c r="L99" s="24" t="s">
        <v>545</v>
      </c>
      <c r="M99" s="24" t="s">
        <v>546</v>
      </c>
      <c r="N99" s="24"/>
    </row>
    <row r="100" spans="1:14" x14ac:dyDescent="0.3">
      <c r="A100" s="24" t="s">
        <v>899</v>
      </c>
      <c r="B100" s="24" t="s">
        <v>753</v>
      </c>
      <c r="C100" s="24" t="s">
        <v>547</v>
      </c>
      <c r="D100" s="25">
        <v>24</v>
      </c>
      <c r="E100" s="25">
        <v>0</v>
      </c>
      <c r="F100" s="25">
        <v>30</v>
      </c>
      <c r="G100" s="25">
        <v>19.2</v>
      </c>
      <c r="H100" s="25">
        <v>73.2</v>
      </c>
      <c r="I100" s="24">
        <v>10</v>
      </c>
      <c r="J100" s="24"/>
      <c r="K100" s="24" t="s">
        <v>656</v>
      </c>
      <c r="L100" s="24" t="s">
        <v>548</v>
      </c>
      <c r="M100" s="24" t="s">
        <v>549</v>
      </c>
      <c r="N100" s="24"/>
    </row>
    <row r="101" spans="1:14" x14ac:dyDescent="0.3">
      <c r="A101" s="24" t="s">
        <v>899</v>
      </c>
      <c r="B101" s="24" t="s">
        <v>751</v>
      </c>
      <c r="C101" s="24" t="s">
        <v>541</v>
      </c>
      <c r="D101" s="25">
        <v>27</v>
      </c>
      <c r="E101" s="25">
        <v>0</v>
      </c>
      <c r="F101" s="25">
        <v>30</v>
      </c>
      <c r="G101" s="25">
        <v>16</v>
      </c>
      <c r="H101" s="25">
        <v>73</v>
      </c>
      <c r="I101" s="24">
        <v>11</v>
      </c>
      <c r="J101" s="24"/>
      <c r="K101" s="24" t="s">
        <v>656</v>
      </c>
      <c r="L101" s="24" t="s">
        <v>542</v>
      </c>
      <c r="M101" s="24" t="s">
        <v>543</v>
      </c>
      <c r="N101" s="24"/>
    </row>
    <row r="102" spans="1:14" x14ac:dyDescent="0.3">
      <c r="A102" s="24" t="s">
        <v>899</v>
      </c>
      <c r="B102" s="24" t="s">
        <v>755</v>
      </c>
      <c r="C102" s="24" t="s">
        <v>553</v>
      </c>
      <c r="D102" s="25">
        <v>22.2</v>
      </c>
      <c r="E102" s="25">
        <v>4</v>
      </c>
      <c r="F102" s="25">
        <v>27.33</v>
      </c>
      <c r="G102" s="25">
        <v>18.8</v>
      </c>
      <c r="H102" s="25">
        <v>68.33</v>
      </c>
      <c r="I102" s="24">
        <v>12</v>
      </c>
      <c r="J102" s="24"/>
      <c r="K102" s="24" t="s">
        <v>657</v>
      </c>
      <c r="L102" s="24" t="s">
        <v>554</v>
      </c>
      <c r="M102" s="24" t="s">
        <v>555</v>
      </c>
      <c r="N102" s="24"/>
    </row>
    <row r="103" spans="1:14" x14ac:dyDescent="0.3">
      <c r="A103" s="24" t="s">
        <v>899</v>
      </c>
      <c r="B103" s="24" t="s">
        <v>763</v>
      </c>
      <c r="C103" s="24" t="s">
        <v>550</v>
      </c>
      <c r="D103" s="25">
        <v>23.4</v>
      </c>
      <c r="E103" s="25">
        <v>6</v>
      </c>
      <c r="F103" s="25">
        <v>26</v>
      </c>
      <c r="G103" s="25">
        <v>17.2</v>
      </c>
      <c r="H103" s="25">
        <v>66.599999999999994</v>
      </c>
      <c r="I103" s="24">
        <v>13</v>
      </c>
      <c r="J103" s="24"/>
      <c r="K103" s="24" t="s">
        <v>657</v>
      </c>
      <c r="L103" s="24" t="s">
        <v>551</v>
      </c>
      <c r="M103" s="24" t="s">
        <v>552</v>
      </c>
      <c r="N103" s="24"/>
    </row>
    <row r="104" spans="1:14" x14ac:dyDescent="0.3">
      <c r="A104" s="24" t="s">
        <v>899</v>
      </c>
      <c r="B104" s="24" t="s">
        <v>759</v>
      </c>
      <c r="C104" s="24" t="s">
        <v>573</v>
      </c>
      <c r="D104" s="25">
        <v>17.399999999999999</v>
      </c>
      <c r="E104" s="25">
        <v>3</v>
      </c>
      <c r="F104" s="25">
        <v>28</v>
      </c>
      <c r="G104" s="25">
        <v>19.600000000000001</v>
      </c>
      <c r="H104" s="25">
        <v>65</v>
      </c>
      <c r="I104" s="24">
        <v>14</v>
      </c>
      <c r="J104" s="24"/>
      <c r="K104" s="24" t="s">
        <v>657</v>
      </c>
      <c r="L104" s="24" t="s">
        <v>574</v>
      </c>
      <c r="M104" s="24" t="s">
        <v>575</v>
      </c>
      <c r="N104" s="24"/>
    </row>
    <row r="105" spans="1:14" x14ac:dyDescent="0.3">
      <c r="A105" s="24" t="s">
        <v>899</v>
      </c>
      <c r="B105" s="24" t="s">
        <v>758</v>
      </c>
      <c r="C105" s="24" t="s">
        <v>556</v>
      </c>
      <c r="D105" s="25">
        <v>18</v>
      </c>
      <c r="E105" s="25">
        <v>6</v>
      </c>
      <c r="F105" s="25">
        <v>26</v>
      </c>
      <c r="G105" s="25">
        <v>20</v>
      </c>
      <c r="H105" s="25">
        <v>64</v>
      </c>
      <c r="I105" s="24">
        <v>15</v>
      </c>
      <c r="J105" s="24"/>
      <c r="K105" s="24" t="s">
        <v>657</v>
      </c>
      <c r="L105" s="24" t="s">
        <v>557</v>
      </c>
      <c r="M105" s="24" t="s">
        <v>558</v>
      </c>
      <c r="N105" s="24"/>
    </row>
    <row r="106" spans="1:14" x14ac:dyDescent="0.3">
      <c r="A106" s="24" t="s">
        <v>899</v>
      </c>
      <c r="B106" s="24" t="s">
        <v>754</v>
      </c>
      <c r="C106" s="24" t="s">
        <v>570</v>
      </c>
      <c r="D106" s="25">
        <v>18</v>
      </c>
      <c r="E106" s="25">
        <v>6</v>
      </c>
      <c r="F106" s="25">
        <v>26</v>
      </c>
      <c r="G106" s="25">
        <v>19.2</v>
      </c>
      <c r="H106" s="25">
        <v>63.2</v>
      </c>
      <c r="I106" s="24">
        <v>16</v>
      </c>
      <c r="J106" s="24"/>
      <c r="K106" s="24" t="s">
        <v>657</v>
      </c>
      <c r="L106" s="24" t="s">
        <v>571</v>
      </c>
      <c r="M106" s="24" t="s">
        <v>572</v>
      </c>
      <c r="N106" s="24"/>
    </row>
    <row r="107" spans="1:14" x14ac:dyDescent="0.3">
      <c r="A107" s="24" t="s">
        <v>899</v>
      </c>
      <c r="B107" s="24" t="s">
        <v>761</v>
      </c>
      <c r="C107" s="24" t="s">
        <v>567</v>
      </c>
      <c r="D107" s="25">
        <v>18</v>
      </c>
      <c r="E107" s="25">
        <v>6</v>
      </c>
      <c r="F107" s="25">
        <v>26</v>
      </c>
      <c r="G107" s="25">
        <v>18.8</v>
      </c>
      <c r="H107" s="25">
        <v>62.8</v>
      </c>
      <c r="I107" s="24">
        <v>17</v>
      </c>
      <c r="J107" s="24"/>
      <c r="K107" s="24" t="s">
        <v>657</v>
      </c>
      <c r="L107" s="24" t="s">
        <v>568</v>
      </c>
      <c r="M107" s="24" t="s">
        <v>569</v>
      </c>
      <c r="N107" s="24"/>
    </row>
    <row r="108" spans="1:14" x14ac:dyDescent="0.3">
      <c r="A108" s="24" t="s">
        <v>899</v>
      </c>
      <c r="B108" s="24" t="s">
        <v>747</v>
      </c>
      <c r="C108" s="24" t="s">
        <v>529</v>
      </c>
      <c r="D108" s="25">
        <v>29.4</v>
      </c>
      <c r="E108" s="25">
        <v>0</v>
      </c>
      <c r="F108" s="25">
        <v>30</v>
      </c>
      <c r="G108" s="25">
        <v>2.4</v>
      </c>
      <c r="H108" s="25">
        <v>61.8</v>
      </c>
      <c r="I108" s="24">
        <v>18</v>
      </c>
      <c r="J108" s="24"/>
      <c r="K108" s="24" t="s">
        <v>657</v>
      </c>
      <c r="L108" s="24" t="s">
        <v>530</v>
      </c>
      <c r="M108" s="24" t="s">
        <v>531</v>
      </c>
      <c r="N108" s="24"/>
    </row>
    <row r="109" spans="1:14" x14ac:dyDescent="0.3">
      <c r="A109" s="24" t="s">
        <v>899</v>
      </c>
      <c r="B109" s="24" t="s">
        <v>757</v>
      </c>
      <c r="C109" s="24" t="s">
        <v>511</v>
      </c>
      <c r="D109" s="25">
        <v>30</v>
      </c>
      <c r="E109" s="25">
        <v>0</v>
      </c>
      <c r="F109" s="25">
        <v>30</v>
      </c>
      <c r="G109" s="25">
        <v>1.2</v>
      </c>
      <c r="H109" s="25">
        <v>61.2</v>
      </c>
      <c r="I109" s="24">
        <v>19</v>
      </c>
      <c r="J109" s="24"/>
      <c r="K109" s="24" t="s">
        <v>657</v>
      </c>
      <c r="L109" s="24" t="s">
        <v>512</v>
      </c>
      <c r="M109" s="24" t="s">
        <v>513</v>
      </c>
      <c r="N109" s="24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"/>
  <sheetViews>
    <sheetView workbookViewId="0">
      <selection activeCell="H8" sqref="H8"/>
    </sheetView>
  </sheetViews>
  <sheetFormatPr defaultRowHeight="16.5" x14ac:dyDescent="0.3"/>
  <cols>
    <col min="1" max="8" width="12.25" customWidth="1"/>
  </cols>
  <sheetData>
    <row r="1" spans="1:8" x14ac:dyDescent="0.3">
      <c r="A1" s="23" t="s">
        <v>1</v>
      </c>
      <c r="B1" s="23" t="s">
        <v>900</v>
      </c>
      <c r="C1" s="23" t="s">
        <v>653</v>
      </c>
      <c r="D1" s="23" t="s">
        <v>654</v>
      </c>
      <c r="E1" s="23" t="s">
        <v>655</v>
      </c>
      <c r="F1" s="23" t="s">
        <v>656</v>
      </c>
      <c r="G1" s="23" t="s">
        <v>657</v>
      </c>
      <c r="H1" s="23" t="s">
        <v>901</v>
      </c>
    </row>
    <row r="2" spans="1:8" x14ac:dyDescent="0.3">
      <c r="A2" t="s">
        <v>896</v>
      </c>
      <c r="B2">
        <v>26</v>
      </c>
      <c r="C2">
        <v>4</v>
      </c>
      <c r="D2">
        <v>4</v>
      </c>
      <c r="E2">
        <v>5</v>
      </c>
      <c r="F2">
        <v>3</v>
      </c>
      <c r="G2">
        <v>10</v>
      </c>
      <c r="H2">
        <v>5</v>
      </c>
    </row>
    <row r="3" spans="1:8" x14ac:dyDescent="0.3">
      <c r="A3" t="s">
        <v>897</v>
      </c>
      <c r="B3">
        <v>32</v>
      </c>
      <c r="C3">
        <v>5</v>
      </c>
      <c r="D3">
        <v>3</v>
      </c>
      <c r="E3">
        <v>8</v>
      </c>
      <c r="F3">
        <v>3</v>
      </c>
      <c r="G3">
        <v>13</v>
      </c>
      <c r="H3">
        <v>0</v>
      </c>
    </row>
    <row r="4" spans="1:8" x14ac:dyDescent="0.3">
      <c r="A4" t="s">
        <v>898</v>
      </c>
      <c r="B4">
        <v>31</v>
      </c>
      <c r="C4">
        <v>5</v>
      </c>
      <c r="D4">
        <v>3</v>
      </c>
      <c r="E4">
        <v>8</v>
      </c>
      <c r="F4">
        <v>3</v>
      </c>
      <c r="G4">
        <v>12</v>
      </c>
      <c r="H4">
        <v>0</v>
      </c>
    </row>
    <row r="5" spans="1:8" x14ac:dyDescent="0.3">
      <c r="A5" t="s">
        <v>899</v>
      </c>
      <c r="B5">
        <v>19</v>
      </c>
      <c r="C5">
        <v>3</v>
      </c>
      <c r="D5">
        <v>2</v>
      </c>
      <c r="E5">
        <v>4</v>
      </c>
      <c r="F5">
        <v>2</v>
      </c>
      <c r="G5">
        <v>8</v>
      </c>
      <c r="H5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총괄</vt:lpstr>
      <vt:lpstr>정답표</vt:lpstr>
      <vt:lpstr>처리요약</vt:lpstr>
      <vt:lpstr>중복응답</vt:lpstr>
      <vt:lpstr>미매칭응답</vt:lpstr>
      <vt:lpstr>보정매칭</vt:lpstr>
      <vt:lpstr>출석_원자료</vt:lpstr>
      <vt:lpstr>중간고사_원자료</vt:lpstr>
      <vt:lpstr>성적산정기준</vt:lpstr>
      <vt:lpstr>최종성적</vt:lpstr>
      <vt:lpstr>평점분포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Changgab Seo</cp:lastModifiedBy>
  <dcterms:created xsi:type="dcterms:W3CDTF">2026-06-11T07:13:14Z</dcterms:created>
  <dcterms:modified xsi:type="dcterms:W3CDTF">2026-06-11T10:34:04Z</dcterms:modified>
</cp:coreProperties>
</file>